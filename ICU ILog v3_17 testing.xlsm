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540" windowWidth="19440" windowHeight="11640" tabRatio="841"/>
  </bookViews>
  <sheets>
    <sheet name="Summary" sheetId="1" r:id="rId1"/>
    <sheet name="Cambs Appliances" sheetId="2" r:id="rId2"/>
    <sheet name="OTB Appliances" sheetId="8" r:id="rId3"/>
    <sheet name="Officers" sheetId="3" r:id="rId4"/>
    <sheet name="Other Agencies" sheetId="4" r:id="rId5"/>
    <sheet name="Formulas 2" sheetId="6" state="hidden" r:id="rId6"/>
    <sheet name="EXTRAS" sheetId="12" state="hidden" r:id="rId7"/>
    <sheet name="Temperature Log" sheetId="14" r:id="rId8"/>
    <sheet name="Sector Skills" sheetId="20" r:id="rId9"/>
    <sheet name="SEARCH" sheetId="19" r:id="rId10"/>
    <sheet name="ICU Notes" sheetId="15" r:id="rId11"/>
    <sheet name="Fault Report" sheetId="13" state="hidden" r:id="rId12"/>
    <sheet name="SKILLSETS" sheetId="9" state="hidden" r:id="rId13"/>
    <sheet name="Formula to Hide" sheetId="5" state="hidden" r:id="rId14"/>
    <sheet name="DATA DUMP" sheetId="18" state="hidden" r:id="rId15"/>
    <sheet name="Stations" sheetId="22" state="hidden" r:id="rId16"/>
    <sheet name="CREWING" sheetId="11" state="hidden" r:id="rId17"/>
    <sheet name="Sheet2" sheetId="24" r:id="rId18"/>
  </sheets>
  <definedNames>
    <definedName name="_c01">CREWING!$AP$7:$AP$86</definedName>
    <definedName name="_C02P3">CREWING!$AA$7:$AA$18</definedName>
    <definedName name="_C03P3">CREWING!$AG$7:$AG$13</definedName>
    <definedName name="_C04P3">CREWING!$L$7:$L$20</definedName>
    <definedName name="_C05P4">CREWING!$AH$7:$AH$33</definedName>
    <definedName name="_C05P5">CREWING!$AI$7:$AI$33</definedName>
    <definedName name="_C06P3">CREWING!$W$7:$W$19</definedName>
    <definedName name="_C06P4">CREWING!$X$7:$X$19</definedName>
    <definedName name="_C07P3">CREWING!$G$7:$G$18</definedName>
    <definedName name="_C09P3">CREWING!$K$7:$K$18</definedName>
    <definedName name="_C10P3">CREWING!$U$7:$U$13</definedName>
    <definedName name="_C11P3">CREWING!$H$7:$H$15</definedName>
    <definedName name="_C12P3">CREWING!$P$7:$P$15</definedName>
    <definedName name="_C13H9">CREWING!$AD$7:$AD$37</definedName>
    <definedName name="_C13P4">CREWING!$AB$7:$AB$37</definedName>
    <definedName name="_C13P5">CREWING!$AC$7:$AC$37</definedName>
    <definedName name="_C14">CREWING!$AO$7:$AO$61</definedName>
    <definedName name="_C15P3">CREWING!$Q$7:$Q$16</definedName>
    <definedName name="_C16P5">CREWING!$AM$7:$AM$37</definedName>
    <definedName name="_C16P6">CREWING!$AN$7:$AN$37</definedName>
    <definedName name="_C17P3">CREWING!$AL$7:$AL$18</definedName>
    <definedName name="_C18P3">CREWING!$AF$7:$AF$23</definedName>
    <definedName name="_C19P3">CREWING!$AE$7:$AE$15</definedName>
    <definedName name="_C20P4">CREWING!$AK$7:$AK$33</definedName>
    <definedName name="_C20P5">CREWING!$AJ$7:$AJ$33</definedName>
    <definedName name="_C21P3">CREWING!$N$7:$N$23</definedName>
    <definedName name="_C21P4">CREWING!$O$7:$O$23</definedName>
    <definedName name="_C22P3">CREWING!$M$7:$M$13</definedName>
    <definedName name="_C23P3">CREWING!$I$7:$I$18</definedName>
    <definedName name="_C24P3">CREWING!$R$7:$R$17</definedName>
    <definedName name="_C24P4">CREWING!$S$7:$S$17</definedName>
    <definedName name="_C24W7">CREWING!$T$7:$T$17</definedName>
    <definedName name="_C25P3">CREWING!$V$7:$V$16</definedName>
    <definedName name="_C26P3">CREWING!$J$7:$J$13</definedName>
    <definedName name="_C27C9">CREWING!$E$7:$E$59</definedName>
    <definedName name="_C27P4">CREWING!$C$7:$C$59</definedName>
    <definedName name="_C27P5">CREWING!$D$7:$D$59</definedName>
    <definedName name="_C27R5">CREWING!$F$7:$F$59</definedName>
    <definedName name="_C28P3">CREWING!$Y$7:$Y$15</definedName>
    <definedName name="_C28P4">CREWING!$Z$7:$Z$15</definedName>
    <definedName name="_HQ">CREWING!$AR$7:$AR$60</definedName>
    <definedName name="_TDG">CREWING!$AQ$7:$AQ$15</definedName>
    <definedName name="APPLIANCES">'Formula to Hide'!$D$3:$D$39</definedName>
    <definedName name="CALLSIGNS">CREWING!$C$6:$AR$6</definedName>
    <definedName name="Officers">'Formula to Hide'!$H$3:$H$27</definedName>
    <definedName name="ROLES">EXTRAS!$K$3:$K$12</definedName>
    <definedName name="SECTORS">EXTRAS!$H$3:$H$16</definedName>
    <definedName name="Tactical">'Formulas 2'!$J$2:$J$4</definedName>
  </definedNames>
  <calcPr calcId="145621"/>
</workbook>
</file>

<file path=xl/calcChain.xml><?xml version="1.0" encoding="utf-8"?>
<calcChain xmlns="http://schemas.openxmlformats.org/spreadsheetml/2006/main">
  <c r="D69" i="1" l="1"/>
  <c r="D68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C9" i="2"/>
  <c r="C29" i="2"/>
  <c r="C24" i="2"/>
  <c r="C23" i="2"/>
  <c r="C22" i="2"/>
  <c r="C21" i="2"/>
  <c r="C20" i="2"/>
  <c r="C19" i="2"/>
  <c r="C14" i="2"/>
  <c r="B52" i="24"/>
  <c r="C52" i="24"/>
  <c r="D52" i="24"/>
  <c r="E52" i="24"/>
  <c r="F52" i="24"/>
  <c r="B53" i="24"/>
  <c r="C53" i="24"/>
  <c r="D53" i="24"/>
  <c r="E53" i="24"/>
  <c r="F53" i="24"/>
  <c r="B54" i="24"/>
  <c r="C54" i="24"/>
  <c r="D54" i="24"/>
  <c r="E54" i="24"/>
  <c r="F54" i="24"/>
  <c r="B55" i="24"/>
  <c r="C55" i="24"/>
  <c r="D55" i="24"/>
  <c r="E55" i="24"/>
  <c r="F55" i="24"/>
  <c r="B56" i="24"/>
  <c r="C56" i="24"/>
  <c r="D56" i="24"/>
  <c r="E56" i="24"/>
  <c r="F56" i="24"/>
  <c r="B57" i="24"/>
  <c r="C57" i="24"/>
  <c r="D57" i="24"/>
  <c r="E57" i="24"/>
  <c r="F57" i="24"/>
  <c r="A57" i="24"/>
  <c r="A56" i="24"/>
  <c r="A55" i="24"/>
  <c r="A54" i="24"/>
  <c r="A53" i="24"/>
  <c r="A52" i="24"/>
  <c r="B46" i="24"/>
  <c r="C46" i="24"/>
  <c r="D46" i="24"/>
  <c r="E46" i="24"/>
  <c r="F46" i="24"/>
  <c r="B47" i="24"/>
  <c r="C47" i="24"/>
  <c r="D47" i="24"/>
  <c r="E47" i="24"/>
  <c r="F47" i="24"/>
  <c r="B48" i="24"/>
  <c r="C48" i="24"/>
  <c r="D48" i="24"/>
  <c r="E48" i="24"/>
  <c r="F48" i="24"/>
  <c r="B49" i="24"/>
  <c r="C49" i="24"/>
  <c r="D49" i="24"/>
  <c r="E49" i="24"/>
  <c r="F49" i="24"/>
  <c r="B50" i="24"/>
  <c r="C50" i="24"/>
  <c r="D50" i="24"/>
  <c r="E50" i="24"/>
  <c r="F50" i="24"/>
  <c r="B51" i="24"/>
  <c r="C51" i="24"/>
  <c r="D51" i="24"/>
  <c r="E51" i="24"/>
  <c r="F51" i="24"/>
  <c r="A51" i="24"/>
  <c r="A50" i="24"/>
  <c r="A49" i="24"/>
  <c r="A48" i="24"/>
  <c r="A47" i="24"/>
  <c r="A46" i="24"/>
  <c r="B41" i="24"/>
  <c r="C41" i="24"/>
  <c r="D41" i="24"/>
  <c r="E41" i="24"/>
  <c r="F41" i="24"/>
  <c r="B42" i="24"/>
  <c r="C42" i="24"/>
  <c r="D42" i="24"/>
  <c r="E42" i="24"/>
  <c r="F42" i="24"/>
  <c r="B43" i="24"/>
  <c r="C43" i="24"/>
  <c r="D43" i="24"/>
  <c r="E43" i="24"/>
  <c r="F43" i="24"/>
  <c r="B44" i="24"/>
  <c r="C44" i="24"/>
  <c r="D44" i="24"/>
  <c r="E44" i="24"/>
  <c r="F44" i="24"/>
  <c r="B45" i="24"/>
  <c r="C45" i="24"/>
  <c r="D45" i="24"/>
  <c r="E45" i="24"/>
  <c r="F45" i="24"/>
  <c r="A45" i="24"/>
  <c r="A44" i="24"/>
  <c r="A43" i="24"/>
  <c r="A42" i="24"/>
  <c r="A41" i="24"/>
  <c r="A40" i="24"/>
  <c r="B40" i="24"/>
  <c r="C40" i="24"/>
  <c r="D40" i="24"/>
  <c r="E40" i="24"/>
  <c r="F40" i="24"/>
  <c r="A39" i="24"/>
  <c r="B38" i="24" l="1"/>
  <c r="C38" i="24"/>
  <c r="D38" i="24"/>
  <c r="E38" i="24"/>
  <c r="F38" i="24"/>
  <c r="B39" i="24"/>
  <c r="C39" i="24"/>
  <c r="D39" i="24"/>
  <c r="E39" i="24"/>
  <c r="F39" i="24"/>
  <c r="C34" i="24"/>
  <c r="A38" i="24"/>
  <c r="A21" i="24"/>
  <c r="B21" i="24"/>
  <c r="C21" i="24"/>
  <c r="D21" i="24"/>
  <c r="A22" i="24"/>
  <c r="B22" i="24"/>
  <c r="C22" i="24"/>
  <c r="D22" i="24"/>
  <c r="A23" i="24"/>
  <c r="B23" i="24"/>
  <c r="C23" i="24"/>
  <c r="D23" i="24"/>
  <c r="A24" i="24"/>
  <c r="B24" i="24"/>
  <c r="C24" i="24"/>
  <c r="D24" i="24"/>
  <c r="A25" i="24"/>
  <c r="B25" i="24"/>
  <c r="C25" i="24"/>
  <c r="D25" i="24"/>
  <c r="A11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A12" i="24"/>
  <c r="B12" i="24"/>
  <c r="C12" i="24"/>
  <c r="D12" i="24"/>
  <c r="E12" i="24"/>
  <c r="F12" i="24"/>
  <c r="G12" i="24"/>
  <c r="H12" i="24"/>
  <c r="I12" i="24"/>
  <c r="J12" i="24"/>
  <c r="K12" i="24"/>
  <c r="L12" i="24"/>
  <c r="M12" i="24"/>
  <c r="A13" i="24"/>
  <c r="B13" i="24"/>
  <c r="C13" i="24"/>
  <c r="D13" i="24"/>
  <c r="E13" i="24"/>
  <c r="F13" i="24"/>
  <c r="G13" i="24"/>
  <c r="H13" i="24"/>
  <c r="I13" i="24"/>
  <c r="J13" i="24"/>
  <c r="K13" i="24"/>
  <c r="L13" i="24"/>
  <c r="M13" i="24"/>
  <c r="A14" i="24"/>
  <c r="B14" i="24"/>
  <c r="C14" i="24"/>
  <c r="D14" i="24"/>
  <c r="E14" i="24"/>
  <c r="F14" i="24"/>
  <c r="G14" i="24"/>
  <c r="H14" i="24"/>
  <c r="I14" i="24"/>
  <c r="J14" i="24"/>
  <c r="K14" i="24"/>
  <c r="L14" i="24"/>
  <c r="M14" i="24"/>
  <c r="A15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G3" i="24"/>
  <c r="H3" i="24"/>
  <c r="I3" i="24"/>
  <c r="J3" i="24"/>
  <c r="K3" i="24"/>
  <c r="L3" i="24"/>
  <c r="M3" i="24"/>
  <c r="G4" i="24"/>
  <c r="H4" i="24"/>
  <c r="I4" i="24"/>
  <c r="J4" i="24"/>
  <c r="K4" i="24"/>
  <c r="L4" i="24"/>
  <c r="M4" i="24"/>
  <c r="G5" i="24"/>
  <c r="H5" i="24"/>
  <c r="I5" i="24"/>
  <c r="J5" i="24"/>
  <c r="K5" i="24"/>
  <c r="L5" i="24"/>
  <c r="M5" i="24"/>
  <c r="G6" i="24"/>
  <c r="H6" i="24"/>
  <c r="I6" i="24"/>
  <c r="J6" i="24"/>
  <c r="K6" i="24"/>
  <c r="L6" i="24"/>
  <c r="M6" i="24"/>
  <c r="G7" i="24"/>
  <c r="H7" i="24"/>
  <c r="I7" i="24"/>
  <c r="J7" i="24"/>
  <c r="K7" i="24"/>
  <c r="L7" i="24"/>
  <c r="M7" i="24"/>
  <c r="E4" i="24"/>
  <c r="F4" i="24"/>
  <c r="E5" i="24"/>
  <c r="F5" i="24"/>
  <c r="E6" i="24"/>
  <c r="F6" i="24"/>
  <c r="E7" i="24"/>
  <c r="F7" i="24"/>
  <c r="E3" i="24"/>
  <c r="F3" i="24"/>
  <c r="D3" i="24"/>
  <c r="D4" i="24"/>
  <c r="D5" i="24"/>
  <c r="D6" i="24"/>
  <c r="D7" i="24"/>
  <c r="C4" i="24"/>
  <c r="C5" i="24"/>
  <c r="C6" i="24"/>
  <c r="C7" i="24"/>
  <c r="C3" i="24"/>
  <c r="D20" i="24"/>
  <c r="B20" i="24"/>
  <c r="A20" i="24"/>
  <c r="M10" i="24"/>
  <c r="L10" i="24"/>
  <c r="G10" i="24"/>
  <c r="F10" i="24"/>
  <c r="E10" i="24"/>
  <c r="D10" i="24"/>
  <c r="C10" i="24"/>
  <c r="C20" i="24"/>
  <c r="K10" i="24"/>
  <c r="J10" i="24"/>
  <c r="I10" i="24"/>
  <c r="H10" i="24"/>
  <c r="J2" i="24"/>
  <c r="I2" i="24"/>
  <c r="H2" i="24"/>
  <c r="G2" i="24"/>
  <c r="F2" i="24"/>
  <c r="B10" i="24"/>
  <c r="A10" i="24"/>
  <c r="M2" i="24"/>
  <c r="L2" i="24"/>
  <c r="K2" i="24"/>
  <c r="E2" i="24"/>
  <c r="D2" i="24"/>
  <c r="C2" i="24"/>
  <c r="B7" i="24"/>
  <c r="B6" i="24"/>
  <c r="B5" i="24"/>
  <c r="B37" i="24" s="1"/>
  <c r="B4" i="24"/>
  <c r="B36" i="24" s="1"/>
  <c r="B3" i="24"/>
  <c r="D35" i="24" s="1"/>
  <c r="B2" i="24"/>
  <c r="A34" i="24" s="1"/>
  <c r="A2" i="24"/>
  <c r="A28" i="24" s="1"/>
  <c r="H3" i="1"/>
  <c r="B34" i="24" l="1"/>
  <c r="F34" i="24"/>
  <c r="E34" i="24"/>
  <c r="D34" i="24"/>
  <c r="E37" i="24"/>
  <c r="C37" i="24"/>
  <c r="A37" i="24"/>
  <c r="F37" i="24"/>
  <c r="D37" i="24"/>
  <c r="F36" i="24"/>
  <c r="D36" i="24"/>
  <c r="A36" i="24"/>
  <c r="C36" i="24"/>
  <c r="E36" i="24"/>
  <c r="A35" i="24"/>
  <c r="C35" i="24"/>
  <c r="B35" i="24"/>
  <c r="F35" i="24"/>
  <c r="E35" i="24"/>
  <c r="E9" i="1"/>
  <c r="E10" i="1"/>
  <c r="E11" i="1"/>
  <c r="T16" i="1" l="1"/>
  <c r="T15" i="1"/>
  <c r="K7" i="1" l="1"/>
  <c r="J7" i="1"/>
  <c r="D13" i="3" l="1"/>
  <c r="D14" i="3"/>
  <c r="D15" i="3"/>
  <c r="D16" i="3"/>
  <c r="D17" i="3"/>
  <c r="D18" i="3"/>
  <c r="D19" i="3"/>
  <c r="D20" i="3"/>
  <c r="D21" i="3"/>
  <c r="D22" i="3"/>
  <c r="D23" i="3"/>
  <c r="D24" i="3"/>
  <c r="D25" i="3"/>
  <c r="D12" i="3"/>
  <c r="D11" i="3"/>
  <c r="D10" i="3"/>
  <c r="A16" i="19"/>
  <c r="D24" i="1" l="1"/>
  <c r="A7" i="24"/>
  <c r="D33" i="24" s="1"/>
  <c r="A6" i="24"/>
  <c r="F32" i="24" s="1"/>
  <c r="A5" i="24"/>
  <c r="D31" i="24" s="1"/>
  <c r="A4" i="24"/>
  <c r="C30" i="24" s="1"/>
  <c r="A3" i="24"/>
  <c r="A29" i="24" s="1"/>
  <c r="B16" i="19"/>
  <c r="M18" i="1"/>
  <c r="M17" i="1"/>
  <c r="C32" i="24" l="1"/>
  <c r="E32" i="24"/>
  <c r="D32" i="24"/>
  <c r="A32" i="24"/>
  <c r="B32" i="24"/>
  <c r="C13" i="2" s="1"/>
  <c r="A33" i="24"/>
  <c r="F33" i="24"/>
  <c r="E33" i="24"/>
  <c r="B33" i="24"/>
  <c r="C33" i="24"/>
  <c r="B29" i="24"/>
  <c r="C10" i="2" s="1"/>
  <c r="E29" i="24"/>
  <c r="D29" i="24"/>
  <c r="F31" i="24"/>
  <c r="A31" i="24"/>
  <c r="E31" i="24"/>
  <c r="C31" i="24"/>
  <c r="B31" i="24"/>
  <c r="C12" i="2" s="1"/>
  <c r="A30" i="24"/>
  <c r="F29" i="24"/>
  <c r="F28" i="24"/>
  <c r="E28" i="24"/>
  <c r="D28" i="24"/>
  <c r="C29" i="24"/>
  <c r="C28" i="24"/>
  <c r="F30" i="24"/>
  <c r="B28" i="24"/>
  <c r="E30" i="24"/>
  <c r="D30" i="24"/>
  <c r="B30" i="24"/>
  <c r="C11" i="2" s="1"/>
  <c r="Z23" i="1"/>
  <c r="Y23" i="1"/>
  <c r="U23" i="1"/>
  <c r="T23" i="1"/>
  <c r="P23" i="1"/>
  <c r="O23" i="1"/>
  <c r="E16" i="1" l="1"/>
  <c r="E15" i="1"/>
  <c r="E17" i="1"/>
  <c r="W124" i="20"/>
  <c r="O124" i="20"/>
  <c r="G124" i="20"/>
  <c r="X124" i="20"/>
  <c r="P124" i="20"/>
  <c r="H124" i="20"/>
  <c r="AD124" i="20"/>
  <c r="AC124" i="20"/>
  <c r="AB124" i="20"/>
  <c r="AA124" i="20"/>
  <c r="Z124" i="20"/>
  <c r="Y124" i="20"/>
  <c r="V124" i="20"/>
  <c r="U124" i="20"/>
  <c r="T124" i="20"/>
  <c r="S124" i="20"/>
  <c r="R124" i="20"/>
  <c r="Q124" i="20"/>
  <c r="N124" i="20"/>
  <c r="M124" i="20"/>
  <c r="L124" i="20"/>
  <c r="K124" i="20"/>
  <c r="J124" i="20"/>
  <c r="I124" i="20"/>
  <c r="F124" i="20"/>
  <c r="E124" i="20"/>
  <c r="D124" i="20"/>
  <c r="W98" i="20"/>
  <c r="O98" i="20"/>
  <c r="G98" i="20"/>
  <c r="X98" i="20"/>
  <c r="P98" i="20"/>
  <c r="H98" i="20"/>
  <c r="AD98" i="20"/>
  <c r="AC98" i="20"/>
  <c r="AB98" i="20"/>
  <c r="AA98" i="20"/>
  <c r="Z98" i="20"/>
  <c r="Y98" i="20"/>
  <c r="V98" i="20"/>
  <c r="U98" i="20"/>
  <c r="T98" i="20"/>
  <c r="S98" i="20"/>
  <c r="R98" i="20"/>
  <c r="Q98" i="20"/>
  <c r="N98" i="20"/>
  <c r="M98" i="20"/>
  <c r="L98" i="20"/>
  <c r="K98" i="20"/>
  <c r="J98" i="20"/>
  <c r="I98" i="20"/>
  <c r="F98" i="20"/>
  <c r="E98" i="20"/>
  <c r="D98" i="20"/>
  <c r="W73" i="20"/>
  <c r="O73" i="20"/>
  <c r="G73" i="20"/>
  <c r="X73" i="20"/>
  <c r="P73" i="20"/>
  <c r="H73" i="20"/>
  <c r="AD73" i="20"/>
  <c r="AC73" i="20"/>
  <c r="AB73" i="20"/>
  <c r="AA73" i="20"/>
  <c r="Z73" i="20"/>
  <c r="Y73" i="20"/>
  <c r="V73" i="20"/>
  <c r="U73" i="20"/>
  <c r="T73" i="20"/>
  <c r="S73" i="20"/>
  <c r="R73" i="20"/>
  <c r="Q73" i="20"/>
  <c r="N73" i="20"/>
  <c r="M73" i="20"/>
  <c r="L73" i="20"/>
  <c r="K73" i="20"/>
  <c r="J73" i="20"/>
  <c r="I73" i="20"/>
  <c r="F73" i="20"/>
  <c r="E73" i="20"/>
  <c r="D73" i="20"/>
  <c r="T22" i="20"/>
  <c r="T21" i="20"/>
  <c r="T20" i="20"/>
  <c r="T19" i="20"/>
  <c r="T18" i="20"/>
  <c r="T17" i="20"/>
  <c r="T16" i="20"/>
  <c r="T15" i="20"/>
  <c r="T14" i="20"/>
  <c r="T13" i="20"/>
  <c r="T12" i="20"/>
  <c r="T11" i="20"/>
  <c r="T10" i="20"/>
  <c r="T9" i="20"/>
  <c r="T8" i="20"/>
  <c r="T7" i="20"/>
  <c r="T6" i="20"/>
  <c r="T5" i="20"/>
  <c r="T4" i="20"/>
  <c r="T3" i="20"/>
  <c r="T2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N3" i="20"/>
  <c r="N2" i="20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J23" i="1"/>
  <c r="B22" i="20" l="1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N27" i="20" s="1"/>
  <c r="B2" i="20"/>
  <c r="B27" i="20" l="1"/>
  <c r="J27" i="20"/>
  <c r="R27" i="20"/>
  <c r="Z27" i="20"/>
  <c r="C27" i="20"/>
  <c r="K27" i="20"/>
  <c r="S27" i="20"/>
  <c r="AA27" i="20"/>
  <c r="L27" i="20"/>
  <c r="R25" i="1" s="1"/>
  <c r="T27" i="20"/>
  <c r="AB27" i="20"/>
  <c r="D27" i="20"/>
  <c r="H27" i="20"/>
  <c r="P27" i="20"/>
  <c r="X27" i="20"/>
  <c r="E27" i="20"/>
  <c r="U27" i="20"/>
  <c r="F27" i="20"/>
  <c r="V27" i="20"/>
  <c r="G27" i="20"/>
  <c r="M25" i="1" s="1"/>
  <c r="W27" i="20"/>
  <c r="I27" i="20"/>
  <c r="Y27" i="20"/>
  <c r="AC27" i="20"/>
  <c r="A27" i="20"/>
  <c r="M27" i="20"/>
  <c r="AD27" i="20"/>
  <c r="O27" i="20"/>
  <c r="Q27" i="20"/>
  <c r="W25" i="1" s="1"/>
  <c r="F35" i="20"/>
  <c r="N35" i="20"/>
  <c r="V35" i="20"/>
  <c r="AD35" i="20"/>
  <c r="G35" i="20"/>
  <c r="M33" i="1" s="1"/>
  <c r="O35" i="20"/>
  <c r="W35" i="20"/>
  <c r="H35" i="20"/>
  <c r="X35" i="20"/>
  <c r="P35" i="20"/>
  <c r="D35" i="20"/>
  <c r="L35" i="20"/>
  <c r="R33" i="1" s="1"/>
  <c r="T35" i="20"/>
  <c r="AB35" i="20"/>
  <c r="Q35" i="20"/>
  <c r="W33" i="1" s="1"/>
  <c r="A35" i="20"/>
  <c r="Z35" i="20"/>
  <c r="B35" i="20"/>
  <c r="H33" i="1" s="1"/>
  <c r="R35" i="20"/>
  <c r="C35" i="20"/>
  <c r="S35" i="20"/>
  <c r="E35" i="20"/>
  <c r="U35" i="20"/>
  <c r="I35" i="20"/>
  <c r="Y35" i="20"/>
  <c r="J35" i="20"/>
  <c r="K35" i="20"/>
  <c r="AA35" i="20"/>
  <c r="M35" i="20"/>
  <c r="AC35" i="20"/>
  <c r="F43" i="20"/>
  <c r="N43" i="20"/>
  <c r="V43" i="20"/>
  <c r="AD43" i="20"/>
  <c r="G43" i="20"/>
  <c r="M41" i="1" s="1"/>
  <c r="O43" i="20"/>
  <c r="W43" i="20"/>
  <c r="E43" i="20"/>
  <c r="Q43" i="20"/>
  <c r="W41" i="1" s="1"/>
  <c r="AA43" i="20"/>
  <c r="K43" i="20"/>
  <c r="X43" i="20"/>
  <c r="H43" i="20"/>
  <c r="R43" i="20"/>
  <c r="AB43" i="20"/>
  <c r="A43" i="20"/>
  <c r="I43" i="20"/>
  <c r="S43" i="20"/>
  <c r="AC43" i="20"/>
  <c r="J43" i="20"/>
  <c r="T43" i="20"/>
  <c r="L43" i="20"/>
  <c r="R41" i="1" s="1"/>
  <c r="U43" i="20"/>
  <c r="B43" i="20"/>
  <c r="H41" i="1" s="1"/>
  <c r="C43" i="20"/>
  <c r="M43" i="20"/>
  <c r="Y43" i="20"/>
  <c r="D43" i="20"/>
  <c r="P43" i="20"/>
  <c r="Z43" i="20"/>
  <c r="I36" i="20"/>
  <c r="Q36" i="20"/>
  <c r="W34" i="1" s="1"/>
  <c r="Y36" i="20"/>
  <c r="B36" i="20"/>
  <c r="H34" i="1" s="1"/>
  <c r="J36" i="20"/>
  <c r="R36" i="20"/>
  <c r="Z36" i="20"/>
  <c r="C36" i="20"/>
  <c r="K36" i="20"/>
  <c r="AA36" i="20"/>
  <c r="S36" i="20"/>
  <c r="G36" i="20"/>
  <c r="M34" i="1" s="1"/>
  <c r="O36" i="20"/>
  <c r="W36" i="20"/>
  <c r="D36" i="20"/>
  <c r="T36" i="20"/>
  <c r="E36" i="20"/>
  <c r="U36" i="20"/>
  <c r="F36" i="20"/>
  <c r="V36" i="20"/>
  <c r="H36" i="20"/>
  <c r="X36" i="20"/>
  <c r="L36" i="20"/>
  <c r="R34" i="1" s="1"/>
  <c r="AC36" i="20"/>
  <c r="AB36" i="20"/>
  <c r="M36" i="20"/>
  <c r="N36" i="20"/>
  <c r="AD36" i="20"/>
  <c r="P36" i="20"/>
  <c r="A36" i="20"/>
  <c r="I44" i="20"/>
  <c r="Q44" i="20"/>
  <c r="W42" i="1" s="1"/>
  <c r="Y44" i="20"/>
  <c r="B44" i="20"/>
  <c r="H42" i="1" s="1"/>
  <c r="J44" i="20"/>
  <c r="R44" i="20"/>
  <c r="Z44" i="20"/>
  <c r="H44" i="20"/>
  <c r="T44" i="20"/>
  <c r="AD44" i="20"/>
  <c r="A44" i="20"/>
  <c r="D44" i="20"/>
  <c r="E44" i="20"/>
  <c r="K44" i="20"/>
  <c r="U44" i="20"/>
  <c r="L44" i="20"/>
  <c r="R42" i="1" s="1"/>
  <c r="V44" i="20"/>
  <c r="C44" i="20"/>
  <c r="M44" i="20"/>
  <c r="W44" i="20"/>
  <c r="N44" i="20"/>
  <c r="X44" i="20"/>
  <c r="O44" i="20"/>
  <c r="F44" i="20"/>
  <c r="P44" i="20"/>
  <c r="AB44" i="20"/>
  <c r="G44" i="20"/>
  <c r="M42" i="1" s="1"/>
  <c r="S44" i="20"/>
  <c r="AC44" i="20"/>
  <c r="AA44" i="20"/>
  <c r="D37" i="20"/>
  <c r="L37" i="20"/>
  <c r="R35" i="1" s="1"/>
  <c r="T37" i="20"/>
  <c r="AB37" i="20"/>
  <c r="E37" i="20"/>
  <c r="M37" i="20"/>
  <c r="U37" i="20"/>
  <c r="AC37" i="20"/>
  <c r="A37" i="20"/>
  <c r="F37" i="20"/>
  <c r="V37" i="20"/>
  <c r="AD37" i="20"/>
  <c r="N37" i="20"/>
  <c r="B37" i="20"/>
  <c r="H35" i="1" s="1"/>
  <c r="J37" i="20"/>
  <c r="R37" i="20"/>
  <c r="Z37" i="20"/>
  <c r="G37" i="20"/>
  <c r="M35" i="1" s="1"/>
  <c r="W37" i="20"/>
  <c r="P37" i="20"/>
  <c r="H37" i="20"/>
  <c r="X37" i="20"/>
  <c r="I37" i="20"/>
  <c r="Y37" i="20"/>
  <c r="K37" i="20"/>
  <c r="AA37" i="20"/>
  <c r="O37" i="20"/>
  <c r="Q37" i="20"/>
  <c r="W35" i="1" s="1"/>
  <c r="C37" i="20"/>
  <c r="S37" i="20"/>
  <c r="D45" i="20"/>
  <c r="L45" i="20"/>
  <c r="R43" i="1" s="1"/>
  <c r="T45" i="20"/>
  <c r="AB45" i="20"/>
  <c r="E45" i="20"/>
  <c r="M45" i="20"/>
  <c r="U45" i="20"/>
  <c r="AC45" i="20"/>
  <c r="A45" i="20"/>
  <c r="K45" i="20"/>
  <c r="W45" i="20"/>
  <c r="G45" i="20"/>
  <c r="M43" i="1" s="1"/>
  <c r="AA45" i="20"/>
  <c r="R45" i="20"/>
  <c r="B45" i="20"/>
  <c r="H43" i="1" s="1"/>
  <c r="N45" i="20"/>
  <c r="X45" i="20"/>
  <c r="C45" i="20"/>
  <c r="O45" i="20"/>
  <c r="Y45" i="20"/>
  <c r="F45" i="20"/>
  <c r="P45" i="20"/>
  <c r="Z45" i="20"/>
  <c r="Q45" i="20"/>
  <c r="W43" i="1" s="1"/>
  <c r="H45" i="20"/>
  <c r="AD45" i="20"/>
  <c r="I45" i="20"/>
  <c r="S45" i="20"/>
  <c r="J45" i="20"/>
  <c r="V45" i="20"/>
  <c r="G38" i="20"/>
  <c r="M36" i="1" s="1"/>
  <c r="O38" i="20"/>
  <c r="W38" i="20"/>
  <c r="H38" i="20"/>
  <c r="P38" i="20"/>
  <c r="X38" i="20"/>
  <c r="I38" i="20"/>
  <c r="Y38" i="20"/>
  <c r="Q38" i="20"/>
  <c r="W36" i="1" s="1"/>
  <c r="F38" i="20"/>
  <c r="T38" i="20"/>
  <c r="B38" i="20"/>
  <c r="C38" i="20"/>
  <c r="J38" i="20"/>
  <c r="U38" i="20"/>
  <c r="K38" i="20"/>
  <c r="V38" i="20"/>
  <c r="L38" i="20"/>
  <c r="R36" i="1" s="1"/>
  <c r="Z38" i="20"/>
  <c r="M38" i="20"/>
  <c r="N38" i="20"/>
  <c r="AA38" i="20"/>
  <c r="AB38" i="20"/>
  <c r="D38" i="20"/>
  <c r="R38" i="20"/>
  <c r="AC38" i="20"/>
  <c r="A38" i="20"/>
  <c r="E38" i="20"/>
  <c r="S38" i="20"/>
  <c r="AD38" i="20"/>
  <c r="G46" i="20"/>
  <c r="M44" i="1" s="1"/>
  <c r="H46" i="20"/>
  <c r="P46" i="20"/>
  <c r="X46" i="20"/>
  <c r="D46" i="20"/>
  <c r="N46" i="20"/>
  <c r="W46" i="20"/>
  <c r="AB46" i="20"/>
  <c r="K46" i="20"/>
  <c r="E46" i="20"/>
  <c r="O46" i="20"/>
  <c r="Y46" i="20"/>
  <c r="F46" i="20"/>
  <c r="Q46" i="20"/>
  <c r="W44" i="1" s="1"/>
  <c r="Z46" i="20"/>
  <c r="I46" i="20"/>
  <c r="R46" i="20"/>
  <c r="AA46" i="20"/>
  <c r="S46" i="20"/>
  <c r="T46" i="20"/>
  <c r="J46" i="20"/>
  <c r="B46" i="20"/>
  <c r="H44" i="1" s="1"/>
  <c r="L46" i="20"/>
  <c r="R44" i="1" s="1"/>
  <c r="U46" i="20"/>
  <c r="AD46" i="20"/>
  <c r="C46" i="20"/>
  <c r="M46" i="20"/>
  <c r="V46" i="20"/>
  <c r="A46" i="20"/>
  <c r="AC46" i="20"/>
  <c r="E31" i="20"/>
  <c r="M31" i="20"/>
  <c r="U31" i="20"/>
  <c r="AC31" i="20"/>
  <c r="F31" i="20"/>
  <c r="N31" i="20"/>
  <c r="V31" i="20"/>
  <c r="AD31" i="20"/>
  <c r="O31" i="20"/>
  <c r="W31" i="20"/>
  <c r="G31" i="20"/>
  <c r="M29" i="1" s="1"/>
  <c r="C31" i="20"/>
  <c r="K31" i="20"/>
  <c r="S31" i="20"/>
  <c r="AA31" i="20"/>
  <c r="H31" i="20"/>
  <c r="X31" i="20"/>
  <c r="I31" i="20"/>
  <c r="Y31" i="20"/>
  <c r="J31" i="20"/>
  <c r="Z31" i="20"/>
  <c r="L31" i="20"/>
  <c r="R29" i="1" s="1"/>
  <c r="AB31" i="20"/>
  <c r="A31" i="20"/>
  <c r="P31" i="20"/>
  <c r="Q31" i="20"/>
  <c r="W29" i="1" s="1"/>
  <c r="B31" i="20"/>
  <c r="H29" i="1" s="1"/>
  <c r="R31" i="20"/>
  <c r="D31" i="20"/>
  <c r="T31" i="20"/>
  <c r="B39" i="20"/>
  <c r="H37" i="1" s="1"/>
  <c r="J39" i="20"/>
  <c r="R39" i="20"/>
  <c r="Z39" i="20"/>
  <c r="C39" i="20"/>
  <c r="K39" i="20"/>
  <c r="S39" i="20"/>
  <c r="AA39" i="20"/>
  <c r="L39" i="20"/>
  <c r="R37" i="1" s="1"/>
  <c r="T39" i="20"/>
  <c r="D39" i="20"/>
  <c r="AB39" i="20"/>
  <c r="E39" i="20"/>
  <c r="P39" i="20"/>
  <c r="AD39" i="20"/>
  <c r="M39" i="20"/>
  <c r="A39" i="20"/>
  <c r="F39" i="20"/>
  <c r="Q39" i="20"/>
  <c r="W37" i="1" s="1"/>
  <c r="G39" i="20"/>
  <c r="M37" i="1" s="1"/>
  <c r="U39" i="20"/>
  <c r="H39" i="20"/>
  <c r="V39" i="20"/>
  <c r="I39" i="20"/>
  <c r="X39" i="20"/>
  <c r="W39" i="20"/>
  <c r="N39" i="20"/>
  <c r="Y39" i="20"/>
  <c r="O39" i="20"/>
  <c r="AC39" i="20"/>
  <c r="H32" i="20"/>
  <c r="P32" i="20"/>
  <c r="X32" i="20"/>
  <c r="I32" i="20"/>
  <c r="Q32" i="20"/>
  <c r="W30" i="1" s="1"/>
  <c r="Y32" i="20"/>
  <c r="B32" i="20"/>
  <c r="H30" i="1" s="1"/>
  <c r="R32" i="20"/>
  <c r="Z32" i="20"/>
  <c r="J32" i="20"/>
  <c r="F32" i="20"/>
  <c r="N32" i="20"/>
  <c r="V32" i="20"/>
  <c r="AD32" i="20"/>
  <c r="K32" i="20"/>
  <c r="AA32" i="20"/>
  <c r="D32" i="20"/>
  <c r="L32" i="20"/>
  <c r="R30" i="1" s="1"/>
  <c r="AB32" i="20"/>
  <c r="M32" i="20"/>
  <c r="AC32" i="20"/>
  <c r="A32" i="20"/>
  <c r="O32" i="20"/>
  <c r="C32" i="20"/>
  <c r="S32" i="20"/>
  <c r="T32" i="20"/>
  <c r="E32" i="20"/>
  <c r="U32" i="20"/>
  <c r="G32" i="20"/>
  <c r="M30" i="1" s="1"/>
  <c r="W32" i="20"/>
  <c r="E40" i="20"/>
  <c r="M40" i="20"/>
  <c r="U40" i="20"/>
  <c r="AC40" i="20"/>
  <c r="F40" i="20"/>
  <c r="N40" i="20"/>
  <c r="V40" i="20"/>
  <c r="AD40" i="20"/>
  <c r="G40" i="20"/>
  <c r="M38" i="1" s="1"/>
  <c r="O40" i="20"/>
  <c r="W40" i="20"/>
  <c r="L40" i="20"/>
  <c r="R38" i="1" s="1"/>
  <c r="Z40" i="20"/>
  <c r="H40" i="20"/>
  <c r="T40" i="20"/>
  <c r="B40" i="20"/>
  <c r="H38" i="1" s="1"/>
  <c r="P40" i="20"/>
  <c r="AA40" i="20"/>
  <c r="C40" i="20"/>
  <c r="Q40" i="20"/>
  <c r="W38" i="1" s="1"/>
  <c r="AB40" i="20"/>
  <c r="D40" i="20"/>
  <c r="R40" i="20"/>
  <c r="S40" i="20"/>
  <c r="A40" i="20"/>
  <c r="I40" i="20"/>
  <c r="J40" i="20"/>
  <c r="X40" i="20"/>
  <c r="K40" i="20"/>
  <c r="Y40" i="20"/>
  <c r="C33" i="20"/>
  <c r="K33" i="20"/>
  <c r="S33" i="20"/>
  <c r="AA33" i="20"/>
  <c r="D33" i="20"/>
  <c r="L33" i="20"/>
  <c r="R31" i="1" s="1"/>
  <c r="T33" i="20"/>
  <c r="AB33" i="20"/>
  <c r="M33" i="20"/>
  <c r="E33" i="20"/>
  <c r="U33" i="20"/>
  <c r="AC33" i="20"/>
  <c r="I33" i="20"/>
  <c r="Q33" i="20"/>
  <c r="W31" i="1" s="1"/>
  <c r="Y33" i="20"/>
  <c r="N33" i="20"/>
  <c r="AD33" i="20"/>
  <c r="G33" i="20"/>
  <c r="M31" i="1" s="1"/>
  <c r="O33" i="20"/>
  <c r="A33" i="20"/>
  <c r="P33" i="20"/>
  <c r="B33" i="20"/>
  <c r="H31" i="1" s="1"/>
  <c r="R33" i="20"/>
  <c r="F33" i="20"/>
  <c r="V33" i="20"/>
  <c r="W33" i="20"/>
  <c r="H33" i="20"/>
  <c r="X33" i="20"/>
  <c r="J33" i="20"/>
  <c r="Z33" i="20"/>
  <c r="H41" i="20"/>
  <c r="P41" i="20"/>
  <c r="X41" i="20"/>
  <c r="I41" i="20"/>
  <c r="Q41" i="20"/>
  <c r="W39" i="1" s="1"/>
  <c r="Y41" i="20"/>
  <c r="B41" i="20"/>
  <c r="H39" i="1" s="1"/>
  <c r="J41" i="20"/>
  <c r="K41" i="20"/>
  <c r="U41" i="20"/>
  <c r="AA41" i="20"/>
  <c r="R41" i="20"/>
  <c r="L41" i="20"/>
  <c r="R39" i="1" s="1"/>
  <c r="V41" i="20"/>
  <c r="M41" i="20"/>
  <c r="W41" i="20"/>
  <c r="C41" i="20"/>
  <c r="N41" i="20"/>
  <c r="Z41" i="20"/>
  <c r="A41" i="20"/>
  <c r="O41" i="20"/>
  <c r="E41" i="20"/>
  <c r="D41" i="20"/>
  <c r="AB41" i="20"/>
  <c r="F41" i="20"/>
  <c r="S41" i="20"/>
  <c r="AC41" i="20"/>
  <c r="G41" i="20"/>
  <c r="M39" i="1" s="1"/>
  <c r="T41" i="20"/>
  <c r="AD41" i="20"/>
  <c r="C42" i="20"/>
  <c r="K42" i="20"/>
  <c r="S42" i="20"/>
  <c r="AA42" i="20"/>
  <c r="D42" i="20"/>
  <c r="L42" i="20"/>
  <c r="R40" i="1" s="1"/>
  <c r="T42" i="20"/>
  <c r="AB42" i="20"/>
  <c r="B42" i="20"/>
  <c r="H40" i="1" s="1"/>
  <c r="N42" i="20"/>
  <c r="X42" i="20"/>
  <c r="H42" i="20"/>
  <c r="U42" i="20"/>
  <c r="E42" i="20"/>
  <c r="O42" i="20"/>
  <c r="Y42" i="20"/>
  <c r="F42" i="20"/>
  <c r="P42" i="20"/>
  <c r="Z42" i="20"/>
  <c r="A42" i="20"/>
  <c r="G42" i="20"/>
  <c r="M40" i="1" s="1"/>
  <c r="Q42" i="20"/>
  <c r="W40" i="1" s="1"/>
  <c r="AC42" i="20"/>
  <c r="AD42" i="20"/>
  <c r="I42" i="20"/>
  <c r="R42" i="20"/>
  <c r="J42" i="20"/>
  <c r="V42" i="20"/>
  <c r="M42" i="20"/>
  <c r="W42" i="20"/>
  <c r="F34" i="20"/>
  <c r="N34" i="20"/>
  <c r="V34" i="20"/>
  <c r="AD34" i="20"/>
  <c r="O34" i="20"/>
  <c r="A34" i="20"/>
  <c r="C34" i="20"/>
  <c r="AA34" i="20"/>
  <c r="G34" i="20"/>
  <c r="M32" i="1" s="1"/>
  <c r="W34" i="20"/>
  <c r="H34" i="20"/>
  <c r="P34" i="20"/>
  <c r="X34" i="20"/>
  <c r="I34" i="20"/>
  <c r="Q34" i="20"/>
  <c r="W32" i="1" s="1"/>
  <c r="Y34" i="20"/>
  <c r="B34" i="20"/>
  <c r="H32" i="1" s="1"/>
  <c r="J34" i="20"/>
  <c r="R34" i="20"/>
  <c r="Z34" i="20"/>
  <c r="K34" i="20"/>
  <c r="S34" i="20"/>
  <c r="D34" i="20"/>
  <c r="L34" i="20"/>
  <c r="R32" i="1" s="1"/>
  <c r="T34" i="20"/>
  <c r="AB34" i="20"/>
  <c r="E34" i="20"/>
  <c r="M34" i="20"/>
  <c r="U34" i="20"/>
  <c r="AC34" i="20"/>
  <c r="E30" i="20"/>
  <c r="M30" i="20"/>
  <c r="U30" i="20"/>
  <c r="AC30" i="20"/>
  <c r="A30" i="20"/>
  <c r="H30" i="20"/>
  <c r="X30" i="20"/>
  <c r="I30" i="20"/>
  <c r="R30" i="20"/>
  <c r="F30" i="20"/>
  <c r="N30" i="20"/>
  <c r="V30" i="20"/>
  <c r="AD30" i="20"/>
  <c r="O30" i="20"/>
  <c r="W30" i="20"/>
  <c r="Q30" i="20"/>
  <c r="W28" i="1" s="1"/>
  <c r="B30" i="20"/>
  <c r="H28" i="1" s="1"/>
  <c r="G30" i="20"/>
  <c r="M28" i="1" s="1"/>
  <c r="P30" i="20"/>
  <c r="Z30" i="20"/>
  <c r="C30" i="20"/>
  <c r="K30" i="20"/>
  <c r="S30" i="20"/>
  <c r="AA30" i="20"/>
  <c r="D30" i="20"/>
  <c r="L30" i="20"/>
  <c r="R28" i="1" s="1"/>
  <c r="T30" i="20"/>
  <c r="AB30" i="20"/>
  <c r="Y30" i="20"/>
  <c r="J30" i="20"/>
  <c r="F29" i="20"/>
  <c r="N29" i="20"/>
  <c r="V29" i="20"/>
  <c r="AD29" i="20"/>
  <c r="G29" i="20"/>
  <c r="M27" i="1" s="1"/>
  <c r="O29" i="20"/>
  <c r="W29" i="20"/>
  <c r="H29" i="20"/>
  <c r="P29" i="20"/>
  <c r="X29" i="20"/>
  <c r="I29" i="20"/>
  <c r="Q29" i="20"/>
  <c r="W27" i="1" s="1"/>
  <c r="Y29" i="20"/>
  <c r="B29" i="20"/>
  <c r="J29" i="20"/>
  <c r="R29" i="20"/>
  <c r="Z29" i="20"/>
  <c r="D29" i="20"/>
  <c r="L29" i="20"/>
  <c r="R27" i="1" s="1"/>
  <c r="AB29" i="20"/>
  <c r="E29" i="20"/>
  <c r="U29" i="20"/>
  <c r="C29" i="20"/>
  <c r="K29" i="20"/>
  <c r="S29" i="20"/>
  <c r="AA29" i="20"/>
  <c r="T29" i="20"/>
  <c r="M29" i="20"/>
  <c r="AC29" i="20"/>
  <c r="A29" i="20"/>
  <c r="E28" i="20"/>
  <c r="M28" i="20"/>
  <c r="U28" i="20"/>
  <c r="AC28" i="20"/>
  <c r="J28" i="20"/>
  <c r="Z28" i="20"/>
  <c r="F28" i="20"/>
  <c r="N28" i="20"/>
  <c r="V28" i="20"/>
  <c r="AD28" i="20"/>
  <c r="I28" i="20"/>
  <c r="B28" i="20"/>
  <c r="H26" i="1" s="1"/>
  <c r="T28" i="20"/>
  <c r="G28" i="20"/>
  <c r="M26" i="1" s="1"/>
  <c r="O28" i="20"/>
  <c r="W28" i="20"/>
  <c r="H28" i="20"/>
  <c r="P28" i="20"/>
  <c r="X28" i="20"/>
  <c r="Q28" i="20"/>
  <c r="W26" i="1" s="1"/>
  <c r="Y28" i="20"/>
  <c r="R28" i="20"/>
  <c r="D28" i="20"/>
  <c r="C28" i="20"/>
  <c r="K28" i="20"/>
  <c r="S28" i="20"/>
  <c r="AA28" i="20"/>
  <c r="A28" i="20"/>
  <c r="L28" i="20"/>
  <c r="R26" i="1" s="1"/>
  <c r="AB28" i="20"/>
  <c r="Q26" i="20"/>
  <c r="W24" i="1" s="1"/>
  <c r="R26" i="20"/>
  <c r="C26" i="20"/>
  <c r="K26" i="20"/>
  <c r="S26" i="20"/>
  <c r="AA26" i="20"/>
  <c r="D26" i="20"/>
  <c r="L26" i="20"/>
  <c r="R24" i="1" s="1"/>
  <c r="T26" i="20"/>
  <c r="AB26" i="20"/>
  <c r="E26" i="20"/>
  <c r="M26" i="20"/>
  <c r="U26" i="20"/>
  <c r="AC26" i="20"/>
  <c r="F26" i="20"/>
  <c r="N26" i="20"/>
  <c r="V26" i="20"/>
  <c r="AD26" i="20"/>
  <c r="Z26" i="20"/>
  <c r="G26" i="20"/>
  <c r="M24" i="1" s="1"/>
  <c r="O26" i="20"/>
  <c r="W26" i="20"/>
  <c r="H26" i="20"/>
  <c r="P26" i="20"/>
  <c r="X26" i="20"/>
  <c r="I26" i="20"/>
  <c r="Y26" i="20"/>
  <c r="J26" i="20"/>
  <c r="B26" i="20"/>
  <c r="A26" i="20"/>
  <c r="H27" i="1" l="1"/>
  <c r="H25" i="1"/>
  <c r="H36" i="1"/>
  <c r="H24" i="1" l="1"/>
  <c r="AD48" i="20"/>
  <c r="H48" i="20"/>
  <c r="F48" i="20"/>
  <c r="H10" i="1" s="1"/>
  <c r="X48" i="20"/>
  <c r="H16" i="1" s="1"/>
  <c r="S48" i="20"/>
  <c r="O48" i="20"/>
  <c r="J48" i="20"/>
  <c r="Y48" i="20"/>
  <c r="R48" i="20"/>
  <c r="H17" i="1" s="1"/>
  <c r="K48" i="20"/>
  <c r="H15" i="1" s="1"/>
  <c r="G48" i="20"/>
  <c r="Z48" i="20"/>
  <c r="T48" i="20"/>
  <c r="AB48" i="20"/>
  <c r="U48" i="20"/>
  <c r="H18" i="1" s="1"/>
  <c r="N48" i="20"/>
  <c r="K23" i="1" s="1"/>
  <c r="O8" i="1" s="1"/>
  <c r="V48" i="20"/>
  <c r="H20" i="1" s="1"/>
  <c r="W48" i="20"/>
  <c r="H19" i="1" s="1"/>
  <c r="M48" i="20"/>
  <c r="E48" i="20"/>
  <c r="H9" i="1" s="1"/>
  <c r="AC48" i="20"/>
  <c r="H14" i="1" s="1"/>
  <c r="AA48" i="20"/>
  <c r="D48" i="20"/>
  <c r="H8" i="1" s="1"/>
  <c r="I48" i="20"/>
  <c r="Q48" i="20"/>
  <c r="H13" i="1" s="1"/>
  <c r="L48" i="20"/>
  <c r="P48" i="20"/>
  <c r="H12" i="1" s="1"/>
  <c r="AJ8" i="1"/>
  <c r="AK41" i="1"/>
  <c r="AK40" i="1"/>
  <c r="AK39" i="1"/>
  <c r="AK38" i="1"/>
  <c r="AK36" i="1"/>
  <c r="AK35" i="1"/>
  <c r="AJ41" i="1"/>
  <c r="AJ40" i="1"/>
  <c r="AJ39" i="1"/>
  <c r="AJ38" i="1"/>
  <c r="AJ37" i="1"/>
  <c r="AJ36" i="1"/>
  <c r="AJ35" i="1"/>
  <c r="AJ34" i="1"/>
  <c r="AK34" i="1" s="1"/>
  <c r="AJ33" i="1"/>
  <c r="AK33" i="1" s="1"/>
  <c r="AJ32" i="1"/>
  <c r="AK32" i="1" s="1"/>
  <c r="AJ31" i="1"/>
  <c r="AK31" i="1" s="1"/>
  <c r="AJ30" i="1"/>
  <c r="AK30" i="1" s="1"/>
  <c r="AJ29" i="1"/>
  <c r="AK29" i="1" s="1"/>
  <c r="AJ28" i="1"/>
  <c r="AK28" i="1" s="1"/>
  <c r="AJ27" i="1"/>
  <c r="AK27" i="1" s="1"/>
  <c r="H11" i="1" l="1"/>
  <c r="X17" i="1"/>
  <c r="X16" i="1"/>
  <c r="X15" i="1"/>
  <c r="X14" i="1"/>
  <c r="X13" i="1"/>
  <c r="AK37" i="1" s="1"/>
  <c r="X12" i="1"/>
  <c r="X11" i="1"/>
  <c r="X10" i="1"/>
  <c r="X9" i="1"/>
  <c r="X8" i="1"/>
  <c r="X7" i="1"/>
  <c r="X6" i="1"/>
  <c r="X5" i="1"/>
  <c r="X4" i="1"/>
  <c r="X3" i="1"/>
  <c r="V4" i="1"/>
  <c r="V3" i="1"/>
  <c r="U48" i="8"/>
  <c r="U38" i="8"/>
  <c r="U28" i="8"/>
  <c r="U18" i="8"/>
  <c r="U8" i="8"/>
  <c r="N48" i="8"/>
  <c r="N38" i="8"/>
  <c r="N28" i="8"/>
  <c r="N18" i="8"/>
  <c r="N8" i="8"/>
  <c r="G48" i="8"/>
  <c r="G38" i="8"/>
  <c r="G28" i="8"/>
  <c r="G18" i="8"/>
  <c r="G8" i="8"/>
  <c r="G8" i="2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E24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B24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U101" i="2"/>
  <c r="U91" i="2"/>
  <c r="U81" i="2"/>
  <c r="U71" i="2"/>
  <c r="U61" i="2"/>
  <c r="N101" i="2"/>
  <c r="N91" i="2"/>
  <c r="N81" i="2"/>
  <c r="N71" i="2"/>
  <c r="N61" i="2"/>
  <c r="G101" i="2"/>
  <c r="G91" i="2"/>
  <c r="G81" i="2"/>
  <c r="G71" i="2"/>
  <c r="G61" i="2"/>
  <c r="G38" i="2"/>
  <c r="E69" i="1"/>
  <c r="E68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B69" i="1"/>
  <c r="B68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37" i="1"/>
  <c r="B36" i="1"/>
  <c r="B38" i="1"/>
  <c r="G48" i="2" l="1"/>
  <c r="E56" i="1" l="1"/>
  <c r="D56" i="1"/>
  <c r="B56" i="1"/>
  <c r="E55" i="1"/>
  <c r="D55" i="1"/>
  <c r="B55" i="1"/>
  <c r="A15" i="13" l="1"/>
  <c r="G18" i="2" l="1"/>
  <c r="U11" i="5" l="1"/>
  <c r="I7" i="1"/>
  <c r="H7" i="1"/>
  <c r="M15" i="1" l="1"/>
  <c r="M16" i="1"/>
  <c r="X14" i="5"/>
  <c r="X13" i="5"/>
  <c r="X12" i="5"/>
  <c r="X11" i="5"/>
  <c r="W14" i="5"/>
  <c r="W13" i="5"/>
  <c r="W12" i="5"/>
  <c r="W11" i="5"/>
  <c r="U14" i="5"/>
  <c r="U13" i="5"/>
  <c r="U12" i="5"/>
  <c r="V14" i="5"/>
  <c r="V13" i="5"/>
  <c r="V12" i="5"/>
  <c r="V11" i="5"/>
  <c r="Z6" i="9" l="1"/>
  <c r="Y6" i="9"/>
  <c r="AU6" i="9" l="1"/>
  <c r="AW26" i="9" l="1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V26" i="9"/>
  <c r="AV25" i="9"/>
  <c r="AV24" i="9"/>
  <c r="AV23" i="9"/>
  <c r="AV22" i="9"/>
  <c r="AV21" i="9"/>
  <c r="AV20" i="9"/>
  <c r="AV19" i="9"/>
  <c r="AV18" i="9"/>
  <c r="AV17" i="9"/>
  <c r="AV16" i="9"/>
  <c r="AV15" i="9"/>
  <c r="AV14" i="9"/>
  <c r="AV13" i="9"/>
  <c r="AV12" i="9"/>
  <c r="AV11" i="9"/>
  <c r="AV10" i="9"/>
  <c r="AV9" i="9"/>
  <c r="AV8" i="9"/>
  <c r="AV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L66" i="9"/>
  <c r="AL63" i="9"/>
  <c r="AL60" i="9"/>
  <c r="AL57" i="9"/>
  <c r="AL54" i="9"/>
  <c r="AL51" i="9"/>
  <c r="AL48" i="9"/>
  <c r="AL45" i="9"/>
  <c r="AL42" i="9"/>
  <c r="AL39" i="9"/>
  <c r="AL36" i="9"/>
  <c r="AL33" i="9"/>
  <c r="AL30" i="9"/>
  <c r="AL27" i="9"/>
  <c r="AL24" i="9"/>
  <c r="AL21" i="9"/>
  <c r="AL18" i="9"/>
  <c r="AL15" i="9"/>
  <c r="AL12" i="9"/>
  <c r="AL9" i="9"/>
  <c r="AK66" i="9"/>
  <c r="AK63" i="9"/>
  <c r="AK60" i="9"/>
  <c r="AK57" i="9"/>
  <c r="AK54" i="9"/>
  <c r="AK51" i="9"/>
  <c r="AK48" i="9"/>
  <c r="AK45" i="9"/>
  <c r="AK42" i="9"/>
  <c r="AK39" i="9"/>
  <c r="AK36" i="9"/>
  <c r="AK33" i="9"/>
  <c r="AK30" i="9"/>
  <c r="AK27" i="9"/>
  <c r="AK24" i="9"/>
  <c r="AK21" i="9"/>
  <c r="AK18" i="9"/>
  <c r="AK15" i="9"/>
  <c r="AK12" i="9"/>
  <c r="AK9" i="9"/>
  <c r="AJ66" i="9"/>
  <c r="AJ63" i="9"/>
  <c r="AJ60" i="9"/>
  <c r="AJ57" i="9"/>
  <c r="AJ54" i="9"/>
  <c r="AJ51" i="9"/>
  <c r="AJ48" i="9"/>
  <c r="AJ45" i="9"/>
  <c r="AJ42" i="9"/>
  <c r="AJ39" i="9"/>
  <c r="AJ36" i="9"/>
  <c r="AJ33" i="9"/>
  <c r="AJ30" i="9"/>
  <c r="AJ27" i="9"/>
  <c r="AJ24" i="9"/>
  <c r="AJ21" i="9"/>
  <c r="AJ18" i="9"/>
  <c r="AJ15" i="9"/>
  <c r="AJ12" i="9"/>
  <c r="AJ9" i="9"/>
  <c r="AF66" i="9"/>
  <c r="AF63" i="9"/>
  <c r="AF60" i="9"/>
  <c r="AF57" i="9"/>
  <c r="AF54" i="9"/>
  <c r="AF51" i="9"/>
  <c r="AF48" i="9"/>
  <c r="AF45" i="9"/>
  <c r="AF42" i="9"/>
  <c r="AF39" i="9"/>
  <c r="AF36" i="9"/>
  <c r="AF33" i="9"/>
  <c r="AF30" i="9"/>
  <c r="AF27" i="9"/>
  <c r="AF24" i="9"/>
  <c r="AF21" i="9"/>
  <c r="AF18" i="9"/>
  <c r="AF15" i="9"/>
  <c r="AF12" i="9"/>
  <c r="AF9" i="9"/>
  <c r="AE66" i="9"/>
  <c r="AE63" i="9"/>
  <c r="AE60" i="9"/>
  <c r="AE57" i="9"/>
  <c r="AE54" i="9"/>
  <c r="AE51" i="9"/>
  <c r="AE48" i="9"/>
  <c r="AE45" i="9"/>
  <c r="AE42" i="9"/>
  <c r="AE39" i="9"/>
  <c r="AE36" i="9"/>
  <c r="AE33" i="9"/>
  <c r="AE30" i="9"/>
  <c r="AE27" i="9"/>
  <c r="AE24" i="9"/>
  <c r="AE21" i="9"/>
  <c r="AE18" i="9"/>
  <c r="AE15" i="9"/>
  <c r="AE12" i="9"/>
  <c r="AE9" i="9"/>
  <c r="AD66" i="9"/>
  <c r="AD63" i="9"/>
  <c r="AD60" i="9"/>
  <c r="AD57" i="9"/>
  <c r="AD54" i="9"/>
  <c r="AD51" i="9"/>
  <c r="AD48" i="9"/>
  <c r="AD45" i="9"/>
  <c r="AD42" i="9"/>
  <c r="AD39" i="9"/>
  <c r="AD36" i="9"/>
  <c r="AD33" i="9"/>
  <c r="AD30" i="9"/>
  <c r="AD27" i="9"/>
  <c r="AD24" i="9"/>
  <c r="AD21" i="9"/>
  <c r="AD18" i="9"/>
  <c r="AD15" i="9"/>
  <c r="AD12" i="9"/>
  <c r="AD9" i="9"/>
  <c r="AC66" i="9"/>
  <c r="AC63" i="9"/>
  <c r="AC60" i="9"/>
  <c r="AC57" i="9"/>
  <c r="AC54" i="9"/>
  <c r="AC51" i="9"/>
  <c r="AC48" i="9"/>
  <c r="AC45" i="9"/>
  <c r="AC42" i="9"/>
  <c r="AC39" i="9"/>
  <c r="AC36" i="9"/>
  <c r="AC33" i="9"/>
  <c r="AC30" i="9"/>
  <c r="AC27" i="9"/>
  <c r="AC24" i="9"/>
  <c r="AC21" i="9"/>
  <c r="AC18" i="9"/>
  <c r="AC15" i="9"/>
  <c r="AC12" i="9"/>
  <c r="AC9" i="9"/>
  <c r="AB66" i="9" l="1"/>
  <c r="AB63" i="9"/>
  <c r="AB60" i="9"/>
  <c r="AB57" i="9"/>
  <c r="AB54" i="9"/>
  <c r="AB51" i="9"/>
  <c r="AB48" i="9"/>
  <c r="AB45" i="9"/>
  <c r="AB42" i="9"/>
  <c r="AB39" i="9"/>
  <c r="AB36" i="9"/>
  <c r="AB33" i="9"/>
  <c r="AB30" i="9"/>
  <c r="AB27" i="9"/>
  <c r="AB24" i="9"/>
  <c r="AB21" i="9"/>
  <c r="AB18" i="9"/>
  <c r="AB15" i="9"/>
  <c r="AB12" i="9"/>
  <c r="AB9" i="9"/>
  <c r="AA66" i="9"/>
  <c r="AA63" i="9"/>
  <c r="AA60" i="9"/>
  <c r="AA57" i="9"/>
  <c r="AA54" i="9"/>
  <c r="AA51" i="9"/>
  <c r="AA48" i="9"/>
  <c r="AA45" i="9"/>
  <c r="AA42" i="9"/>
  <c r="AA39" i="9"/>
  <c r="AA36" i="9"/>
  <c r="AA33" i="9"/>
  <c r="AA30" i="9"/>
  <c r="AA27" i="9"/>
  <c r="AA24" i="9"/>
  <c r="AA21" i="9"/>
  <c r="AA18" i="9"/>
  <c r="AA15" i="9"/>
  <c r="AA12" i="9"/>
  <c r="AA9" i="9"/>
  <c r="Z66" i="9"/>
  <c r="Z63" i="9"/>
  <c r="Z60" i="9"/>
  <c r="Z57" i="9"/>
  <c r="Z54" i="9"/>
  <c r="Z51" i="9"/>
  <c r="Z48" i="9"/>
  <c r="Z45" i="9"/>
  <c r="Z42" i="9"/>
  <c r="Z39" i="9"/>
  <c r="Z36" i="9"/>
  <c r="Z33" i="9"/>
  <c r="Z30" i="9"/>
  <c r="Z27" i="9"/>
  <c r="Z24" i="9"/>
  <c r="Z21" i="9"/>
  <c r="Z18" i="9"/>
  <c r="Z15" i="9"/>
  <c r="Z12" i="9"/>
  <c r="Z9" i="9"/>
  <c r="Y66" i="9"/>
  <c r="Y63" i="9"/>
  <c r="Y60" i="9"/>
  <c r="Y57" i="9"/>
  <c r="Y54" i="9"/>
  <c r="Y51" i="9"/>
  <c r="Y48" i="9"/>
  <c r="Y45" i="9"/>
  <c r="Y42" i="9"/>
  <c r="Y39" i="9"/>
  <c r="Y36" i="9"/>
  <c r="Y33" i="9"/>
  <c r="Y30" i="9"/>
  <c r="Y27" i="9"/>
  <c r="Y24" i="9"/>
  <c r="Y21" i="9"/>
  <c r="Y18" i="9"/>
  <c r="Y15" i="9"/>
  <c r="Y12" i="9"/>
  <c r="Y9" i="9"/>
  <c r="X66" i="9"/>
  <c r="X63" i="9"/>
  <c r="X60" i="9"/>
  <c r="X57" i="9"/>
  <c r="X54" i="9"/>
  <c r="X51" i="9"/>
  <c r="X48" i="9"/>
  <c r="X45" i="9"/>
  <c r="X42" i="9"/>
  <c r="X39" i="9"/>
  <c r="X36" i="9"/>
  <c r="X33" i="9"/>
  <c r="X30" i="9"/>
  <c r="X27" i="9"/>
  <c r="X24" i="9"/>
  <c r="X21" i="9"/>
  <c r="X18" i="9"/>
  <c r="X15" i="9"/>
  <c r="X12" i="9"/>
  <c r="X9" i="9"/>
  <c r="AW6" i="9" l="1"/>
  <c r="AW27" i="9" s="1"/>
  <c r="AV6" i="9"/>
  <c r="AV27" i="9" s="1"/>
  <c r="AL6" i="9"/>
  <c r="AK6" i="9"/>
  <c r="AJ6" i="9"/>
  <c r="AF6" i="9"/>
  <c r="AE6" i="9"/>
  <c r="AD6" i="9"/>
  <c r="AC6" i="9"/>
  <c r="AB6" i="9"/>
  <c r="AA6" i="9"/>
  <c r="AU27" i="9"/>
  <c r="W16" i="5" l="1"/>
  <c r="X16" i="5"/>
  <c r="V16" i="5"/>
  <c r="AJ71" i="9"/>
  <c r="AK71" i="9"/>
  <c r="AL71" i="9"/>
  <c r="AD71" i="9"/>
  <c r="AC71" i="9"/>
  <c r="AB71" i="9"/>
  <c r="Z71" i="9"/>
  <c r="AF71" i="9"/>
  <c r="Y71" i="9"/>
  <c r="AE71" i="9"/>
  <c r="AA71" i="9"/>
  <c r="U16" i="5"/>
  <c r="X71" i="9"/>
  <c r="U48" i="2"/>
  <c r="U38" i="2"/>
  <c r="U28" i="2"/>
  <c r="U18" i="2"/>
  <c r="U8" i="2"/>
  <c r="N48" i="2"/>
  <c r="N38" i="2"/>
  <c r="N28" i="2"/>
  <c r="N18" i="2"/>
  <c r="N8" i="2"/>
  <c r="G28" i="2"/>
  <c r="AP42" i="1" l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E20" i="1"/>
  <c r="AJ129" i="1" l="1"/>
  <c r="O13" i="1" s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1" i="1"/>
  <c r="AJ70" i="1"/>
  <c r="AJ69" i="1"/>
  <c r="AJ68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T14" i="1"/>
  <c r="AJ11" i="1"/>
  <c r="AJ25" i="1"/>
  <c r="AK25" i="1" s="1"/>
  <c r="AJ24" i="1"/>
  <c r="AK24" i="1" s="1"/>
  <c r="AJ23" i="1"/>
  <c r="AK23" i="1" s="1"/>
  <c r="AJ22" i="1"/>
  <c r="AK22" i="1" s="1"/>
  <c r="AJ21" i="1"/>
  <c r="AK21" i="1" s="1"/>
  <c r="AJ20" i="1"/>
  <c r="AK20" i="1" s="1"/>
  <c r="AJ19" i="1"/>
  <c r="AK19" i="1" s="1"/>
  <c r="AJ18" i="1"/>
  <c r="AK18" i="1" s="1"/>
  <c r="AJ17" i="1"/>
  <c r="AK17" i="1" s="1"/>
  <c r="AJ16" i="1"/>
  <c r="AK16" i="1" s="1"/>
  <c r="AJ15" i="1"/>
  <c r="AK15" i="1" s="1"/>
  <c r="AJ14" i="1"/>
  <c r="AK14" i="1" s="1"/>
  <c r="AJ13" i="1"/>
  <c r="AK13" i="1" s="1"/>
  <c r="AJ12" i="1"/>
  <c r="AK12" i="1" s="1"/>
  <c r="T17" i="1"/>
  <c r="T11" i="1"/>
  <c r="T10" i="1"/>
  <c r="T9" i="1"/>
  <c r="AJ90" i="1" l="1"/>
  <c r="AK42" i="1"/>
  <c r="AJ72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B35" i="1"/>
  <c r="B34" i="1"/>
  <c r="B33" i="1"/>
  <c r="B32" i="1"/>
  <c r="B31" i="1"/>
  <c r="B30" i="1"/>
  <c r="B29" i="1"/>
  <c r="B28" i="1"/>
  <c r="B27" i="1"/>
  <c r="B26" i="1"/>
  <c r="B25" i="1"/>
  <c r="AK11" i="1" l="1"/>
  <c r="AK26" i="1" s="1"/>
  <c r="O7" i="1"/>
  <c r="S81" i="5"/>
  <c r="S82" i="5"/>
  <c r="S83" i="5"/>
  <c r="S84" i="5"/>
  <c r="S85" i="5"/>
  <c r="S86" i="5"/>
  <c r="S87" i="5"/>
  <c r="S88" i="5"/>
  <c r="S89" i="5"/>
  <c r="O11" i="1" l="1"/>
  <c r="E14" i="1"/>
  <c r="AH8" i="1" s="1"/>
  <c r="O5" i="1" l="1"/>
  <c r="O12" i="1" s="1"/>
</calcChain>
</file>

<file path=xl/sharedStrings.xml><?xml version="1.0" encoding="utf-8"?>
<sst xmlns="http://schemas.openxmlformats.org/spreadsheetml/2006/main" count="5519" uniqueCount="1246">
  <si>
    <t>Number</t>
  </si>
  <si>
    <t>Appliances</t>
  </si>
  <si>
    <t>Pumping Appliance</t>
  </si>
  <si>
    <t>Special Appliance</t>
  </si>
  <si>
    <t>Multistar</t>
  </si>
  <si>
    <t>CFRS Personnel</t>
  </si>
  <si>
    <t>Officers</t>
  </si>
  <si>
    <t>Firefighters</t>
  </si>
  <si>
    <t>Other Agencies</t>
  </si>
  <si>
    <t>HVPd</t>
  </si>
  <si>
    <t>OIC</t>
  </si>
  <si>
    <t>ERD</t>
  </si>
  <si>
    <t>BA</t>
  </si>
  <si>
    <t>WRF</t>
  </si>
  <si>
    <t>MDDd</t>
  </si>
  <si>
    <t>MDD</t>
  </si>
  <si>
    <t>IRU</t>
  </si>
  <si>
    <t>AR1</t>
  </si>
  <si>
    <t>AR2</t>
  </si>
  <si>
    <t>AR3</t>
  </si>
  <si>
    <t>Appliance</t>
  </si>
  <si>
    <t>Crew</t>
  </si>
  <si>
    <t>In</t>
  </si>
  <si>
    <t>Out</t>
  </si>
  <si>
    <t>Skill</t>
  </si>
  <si>
    <t>Set</t>
  </si>
  <si>
    <t>Skills in Current Sectors</t>
  </si>
  <si>
    <t>Sector 1</t>
  </si>
  <si>
    <t>Sector 2</t>
  </si>
  <si>
    <t>Sector 3</t>
  </si>
  <si>
    <t>Sector 4</t>
  </si>
  <si>
    <t>Total Fire Service</t>
  </si>
  <si>
    <t>Total Fire Appliances</t>
  </si>
  <si>
    <t>OTB Personnel</t>
  </si>
  <si>
    <t>Over The Border Appliances</t>
  </si>
  <si>
    <t>APPLIANCES</t>
  </si>
  <si>
    <t>FIREFIGHTERS</t>
  </si>
  <si>
    <t>OFFICERS</t>
  </si>
  <si>
    <t>VEH REG</t>
  </si>
  <si>
    <t>ROLE</t>
  </si>
  <si>
    <t>FI</t>
  </si>
  <si>
    <t>IC</t>
  </si>
  <si>
    <t>Driver</t>
  </si>
  <si>
    <t>ECO</t>
  </si>
  <si>
    <t>6th</t>
  </si>
  <si>
    <t>IN</t>
  </si>
  <si>
    <t>OUT</t>
  </si>
  <si>
    <t>C27P4</t>
  </si>
  <si>
    <t>C27P5</t>
  </si>
  <si>
    <t>C27C9</t>
  </si>
  <si>
    <t>C27R5</t>
  </si>
  <si>
    <t>FF PARISH</t>
  </si>
  <si>
    <t>FF GREEN</t>
  </si>
  <si>
    <t>CC PARTRIDGE</t>
  </si>
  <si>
    <t>OBD</t>
  </si>
  <si>
    <t>TESTING AREA</t>
  </si>
  <si>
    <t>CAMBRIDGE</t>
  </si>
  <si>
    <t>C01P5</t>
  </si>
  <si>
    <t>A27</t>
  </si>
  <si>
    <t>Burwell B07</t>
  </si>
  <si>
    <t>WC Simon Muir</t>
  </si>
  <si>
    <t>CC Martin Claydon</t>
  </si>
  <si>
    <t>CC Anthony Estall</t>
  </si>
  <si>
    <t>FF Neil Butler</t>
  </si>
  <si>
    <t>FF Gary Ward</t>
  </si>
  <si>
    <t>FF Philip Hubbard</t>
  </si>
  <si>
    <t>FF Warren Langford</t>
  </si>
  <si>
    <t>FF Marcus Rawlinson</t>
  </si>
  <si>
    <t>FF Christopher Stearne</t>
  </si>
  <si>
    <t>FF Sam Hall</t>
  </si>
  <si>
    <t>Cambridge B01</t>
  </si>
  <si>
    <t>WC Richard Powell</t>
  </si>
  <si>
    <t>CC Jason Leach</t>
  </si>
  <si>
    <t>CC Jon Smith</t>
  </si>
  <si>
    <t>FF Lee Beard</t>
  </si>
  <si>
    <t>FF Jed Cole</t>
  </si>
  <si>
    <t>FF Martin Harding</t>
  </si>
  <si>
    <t>FF Peter Murphy</t>
  </si>
  <si>
    <t>FF Phil Walmsley</t>
  </si>
  <si>
    <t>FF Nick Brown</t>
  </si>
  <si>
    <t>FF Shaun Maccoll</t>
  </si>
  <si>
    <t>FF Steve Wilson</t>
  </si>
  <si>
    <t>FF John Wolfe</t>
  </si>
  <si>
    <t>WC Ben Leigh-Brown</t>
  </si>
  <si>
    <t>CC Dan Heathcote</t>
  </si>
  <si>
    <t>CC Simon Muir</t>
  </si>
  <si>
    <t>FF Tom Barratt</t>
  </si>
  <si>
    <t>FF Andrew Ellington</t>
  </si>
  <si>
    <t>FF Stephen Griffiths</t>
  </si>
  <si>
    <t>FF Cameron Mathews</t>
  </si>
  <si>
    <t>FF George White</t>
  </si>
  <si>
    <t>FF Ben Anstee</t>
  </si>
  <si>
    <t>FF Jasper Vidot</t>
  </si>
  <si>
    <t>FF Johnathan Cowling</t>
  </si>
  <si>
    <t>FF Evan Fisher</t>
  </si>
  <si>
    <t>WC Clive Allen</t>
  </si>
  <si>
    <t>CC Paul Stephens</t>
  </si>
  <si>
    <t>CC Adam King</t>
  </si>
  <si>
    <t>FF Dale Allen</t>
  </si>
  <si>
    <t>FF Ed Bailey</t>
  </si>
  <si>
    <t>FF Jon Diver</t>
  </si>
  <si>
    <t>FF Phil Hyland</t>
  </si>
  <si>
    <t>FF Neil Kerr</t>
  </si>
  <si>
    <t>FF Steve O'Brien</t>
  </si>
  <si>
    <t>FF Dan Foster</t>
  </si>
  <si>
    <t>WC Rob Cowling</t>
  </si>
  <si>
    <t>CC Karl Jarvis</t>
  </si>
  <si>
    <t>CC Scott Fretwell</t>
  </si>
  <si>
    <t>FF Jon Bowyer</t>
  </si>
  <si>
    <t>FF Steve Clement</t>
  </si>
  <si>
    <t>FF Paul Goldhawk</t>
  </si>
  <si>
    <t>FF Mark Goldsmith</t>
  </si>
  <si>
    <t>FF Simon Marks</t>
  </si>
  <si>
    <t>FF Drew Scott</t>
  </si>
  <si>
    <t>FF Jo Shippey</t>
  </si>
  <si>
    <t>FF Dave Barrett</t>
  </si>
  <si>
    <t>FF Charlie Peacock</t>
  </si>
  <si>
    <t>FF Ross Turner</t>
  </si>
  <si>
    <t>WC Darren Thompson</t>
  </si>
  <si>
    <t>CC Kevin Creaton</t>
  </si>
  <si>
    <t>CC Jeff Whitlam</t>
  </si>
  <si>
    <t>T/CC Scott Newbon</t>
  </si>
  <si>
    <t>T/CC Kevin Andrews</t>
  </si>
  <si>
    <t>T/CC Jake Cuccinelo</t>
  </si>
  <si>
    <t xml:space="preserve">T/CC Nick Brown </t>
  </si>
  <si>
    <t>FF James Ball</t>
  </si>
  <si>
    <t>FF Dominic Mould</t>
  </si>
  <si>
    <t>FF Dave Oura</t>
  </si>
  <si>
    <t>FF Dave Wisbey</t>
  </si>
  <si>
    <t>FF Myles Strickland</t>
  </si>
  <si>
    <t>FF Chloe Housden</t>
  </si>
  <si>
    <t>Chatteris A23</t>
  </si>
  <si>
    <t>WC Mark Edgley</t>
  </si>
  <si>
    <t>CC Roger Nunn</t>
  </si>
  <si>
    <t>CC Robert Edwards</t>
  </si>
  <si>
    <t>FF David Brooks</t>
  </si>
  <si>
    <t>FF Kevin Carpenter</t>
  </si>
  <si>
    <t>FF Alexander Crysanthou</t>
  </si>
  <si>
    <t>FF Nigel James</t>
  </si>
  <si>
    <t>FF Nick Mumford</t>
  </si>
  <si>
    <t>FF Gary Smalley</t>
  </si>
  <si>
    <t>FF Andrew Stracey</t>
  </si>
  <si>
    <t>C07P3</t>
  </si>
  <si>
    <t>C23P3</t>
  </si>
  <si>
    <t>C20P5</t>
  </si>
  <si>
    <t>C20P4</t>
  </si>
  <si>
    <t>C19P3</t>
  </si>
  <si>
    <t>C18P3</t>
  </si>
  <si>
    <t>C21P3</t>
  </si>
  <si>
    <t>C21P4</t>
  </si>
  <si>
    <t>C22P3</t>
  </si>
  <si>
    <t>C04P3</t>
  </si>
  <si>
    <t>C15P3</t>
  </si>
  <si>
    <t>C17P3</t>
  </si>
  <si>
    <t>C25P3</t>
  </si>
  <si>
    <t>C24P4</t>
  </si>
  <si>
    <t>C24P3</t>
  </si>
  <si>
    <t>C24W7</t>
  </si>
  <si>
    <t>C03P3</t>
  </si>
  <si>
    <t>C05P5</t>
  </si>
  <si>
    <t>C05P4</t>
  </si>
  <si>
    <t>C28P3</t>
  </si>
  <si>
    <t>C28P4</t>
  </si>
  <si>
    <t>C02P3</t>
  </si>
  <si>
    <t>C06P3</t>
  </si>
  <si>
    <t>C06P4</t>
  </si>
  <si>
    <t>C26P3</t>
  </si>
  <si>
    <t>C12P3</t>
  </si>
  <si>
    <t>C13P5</t>
  </si>
  <si>
    <t>C13P4</t>
  </si>
  <si>
    <t>C13H9</t>
  </si>
  <si>
    <t>C11P3</t>
  </si>
  <si>
    <t>C10P3</t>
  </si>
  <si>
    <t>C09P3</t>
  </si>
  <si>
    <t>Gamlingay B11</t>
  </si>
  <si>
    <t>Wc Andrew Davis</t>
  </si>
  <si>
    <t>CC Jason Gore</t>
  </si>
  <si>
    <t>CC Richard Petch</t>
  </si>
  <si>
    <t>FF Holly Golder</t>
  </si>
  <si>
    <t>FF Wayne Hipgrave</t>
  </si>
  <si>
    <t>FF Adam Newman</t>
  </si>
  <si>
    <t>FF Roy Nicholas</t>
  </si>
  <si>
    <t>FF Tara Kirkham</t>
  </si>
  <si>
    <t>FF Kevin Hall</t>
  </si>
  <si>
    <t>Kimbolton A26</t>
  </si>
  <si>
    <t>WC Russell Gooderham</t>
  </si>
  <si>
    <t>CC Trevor White</t>
  </si>
  <si>
    <t>FF Stuart Cox</t>
  </si>
  <si>
    <t>FF Robert Davies</t>
  </si>
  <si>
    <t>FF Louise Halsall</t>
  </si>
  <si>
    <t>FF Ian Skingsley</t>
  </si>
  <si>
    <t>FF Adam Woodbine</t>
  </si>
  <si>
    <t>HVP</t>
  </si>
  <si>
    <t>C01</t>
  </si>
  <si>
    <t>callsign</t>
  </si>
  <si>
    <t>ff</t>
  </si>
  <si>
    <t>Special</t>
  </si>
  <si>
    <t>MultiStar</t>
  </si>
  <si>
    <t>Crew Commanders</t>
  </si>
  <si>
    <t>Watch Commanders</t>
  </si>
  <si>
    <t>Officer</t>
  </si>
  <si>
    <t>Vehicle Reg</t>
  </si>
  <si>
    <t>Role</t>
  </si>
  <si>
    <t>Contact</t>
  </si>
  <si>
    <t>Live Totals</t>
  </si>
  <si>
    <t>live totals FS</t>
  </si>
  <si>
    <t>time out</t>
  </si>
  <si>
    <t>Fire Appliances</t>
  </si>
  <si>
    <t xml:space="preserve">Fire Service </t>
  </si>
  <si>
    <t>timeout</t>
  </si>
  <si>
    <t>cambs</t>
  </si>
  <si>
    <t>OTB</t>
  </si>
  <si>
    <t>TIMEOUT</t>
  </si>
  <si>
    <t>OFFICER</t>
  </si>
  <si>
    <t>TIMEIN</t>
  </si>
  <si>
    <t>Over The Border</t>
  </si>
  <si>
    <t>otb officers</t>
  </si>
  <si>
    <t>Time Out</t>
  </si>
  <si>
    <t>Time In</t>
  </si>
  <si>
    <t>Date</t>
  </si>
  <si>
    <t>Name</t>
  </si>
  <si>
    <t>Organisation</t>
  </si>
  <si>
    <t>Registration</t>
  </si>
  <si>
    <t>Incident Number</t>
  </si>
  <si>
    <t>SKILL SET FORMULAS</t>
  </si>
  <si>
    <t>NAME</t>
  </si>
  <si>
    <t>WAH1</t>
  </si>
  <si>
    <t>WAH2</t>
  </si>
  <si>
    <t>WAH3</t>
  </si>
  <si>
    <t>SECTOR 1</t>
  </si>
  <si>
    <t>DELETE</t>
  </si>
  <si>
    <t>VOID</t>
  </si>
  <si>
    <t>FF BUTLAND</t>
  </si>
  <si>
    <t>SECTOR1</t>
  </si>
  <si>
    <t>SECTOR2</t>
  </si>
  <si>
    <t>SCETOR3</t>
  </si>
  <si>
    <t>SECTOR4</t>
  </si>
  <si>
    <t>FF</t>
  </si>
  <si>
    <t>CC</t>
  </si>
  <si>
    <t>WC</t>
  </si>
  <si>
    <t>SC</t>
  </si>
  <si>
    <t>CALCULATIONS</t>
  </si>
  <si>
    <t>WC LINES</t>
  </si>
  <si>
    <t>CC HARRIS</t>
  </si>
  <si>
    <t>FF BYNOE</t>
  </si>
  <si>
    <t>FF MULANE</t>
  </si>
  <si>
    <t>FF RACKLEY</t>
  </si>
  <si>
    <t>Time</t>
  </si>
  <si>
    <t>OFFENSIVE</t>
  </si>
  <si>
    <t>DEFENSIVE</t>
  </si>
  <si>
    <t>-</t>
  </si>
  <si>
    <t>Huntingdon A27 On Call</t>
  </si>
  <si>
    <t>CC Jake Cuccinelo</t>
  </si>
  <si>
    <t>CC Kevin Andrews</t>
  </si>
  <si>
    <t xml:space="preserve">CC Nick Brown </t>
  </si>
  <si>
    <t>CC Scott Newbon</t>
  </si>
  <si>
    <t>FF James Parish</t>
  </si>
  <si>
    <t>FF Jason Green</t>
  </si>
  <si>
    <t>WC Derek Lines</t>
  </si>
  <si>
    <t>CC Lee Harris</t>
  </si>
  <si>
    <t>CC Kevin Partridge</t>
  </si>
  <si>
    <t>FF Trevor Butland</t>
  </si>
  <si>
    <t>FF Mark Bynoe</t>
  </si>
  <si>
    <t>FF Graham Mullane</t>
  </si>
  <si>
    <t>FF Steve Rackley</t>
  </si>
  <si>
    <t>HUNTINGDON</t>
  </si>
  <si>
    <t>FF Simon Robinson</t>
  </si>
  <si>
    <t>BURWELL</t>
  </si>
  <si>
    <t>GAMLINGAY</t>
  </si>
  <si>
    <t>CHATTERIS</t>
  </si>
  <si>
    <t>KIMBOLTON</t>
  </si>
  <si>
    <t>LINTON</t>
  </si>
  <si>
    <t>WC Lee Allen</t>
  </si>
  <si>
    <t>CC Sebastian Croot</t>
  </si>
  <si>
    <t>CC Stephen Jackson</t>
  </si>
  <si>
    <t>FF Michael Wilson</t>
  </si>
  <si>
    <t>FF Gary Doggett</t>
  </si>
  <si>
    <t>FF Jack Anderson</t>
  </si>
  <si>
    <t>FF Alan Baker</t>
  </si>
  <si>
    <t>FF Richard Gethin</t>
  </si>
  <si>
    <t>FF John Reynolds</t>
  </si>
  <si>
    <t>FF Benjamin Sams</t>
  </si>
  <si>
    <t>FF Ben Walbanke-taylor</t>
  </si>
  <si>
    <t>LITTLEPORT</t>
  </si>
  <si>
    <t>MANEA</t>
  </si>
  <si>
    <t>MARCH</t>
  </si>
  <si>
    <t>PAPWORTH</t>
  </si>
  <si>
    <t>PETERBOROUGH VOLS</t>
  </si>
  <si>
    <t>WC Mark Addinall</t>
  </si>
  <si>
    <t>CC Nick Cowley</t>
  </si>
  <si>
    <t>CC Anthony Gould</t>
  </si>
  <si>
    <t>FF William Baker</t>
  </si>
  <si>
    <t>FF Jake Benton</t>
  </si>
  <si>
    <t>FF Nathan Glover</t>
  </si>
  <si>
    <t>RAMSEY</t>
  </si>
  <si>
    <t>SAWSTON</t>
  </si>
  <si>
    <t>SAWTRY</t>
  </si>
  <si>
    <t>SOHAM</t>
  </si>
  <si>
    <t>ST IVES</t>
  </si>
  <si>
    <t>COTTENHAM</t>
  </si>
  <si>
    <t>WC Michael Fishpoole</t>
  </si>
  <si>
    <t>CC Stephen Tibbett</t>
  </si>
  <si>
    <t>CC Julian Bridgeman</t>
  </si>
  <si>
    <t>FF Daniel Granger</t>
  </si>
  <si>
    <t>FF Gavin Johnstone</t>
  </si>
  <si>
    <t>FF Roger Pake</t>
  </si>
  <si>
    <t>FF Mathew Scruby</t>
  </si>
  <si>
    <t>FF Ian Grimshaw</t>
  </si>
  <si>
    <t>ST NEOTS</t>
  </si>
  <si>
    <t>FF Martin Wallis</t>
  </si>
  <si>
    <t>THORNEY</t>
  </si>
  <si>
    <t>WC Colin Bartlett</t>
  </si>
  <si>
    <t>CC Steve Lloyd</t>
  </si>
  <si>
    <t>CC Paul Morehen</t>
  </si>
  <si>
    <t>CC Ben Purdy</t>
  </si>
  <si>
    <t>FF Gareth Horrocks</t>
  </si>
  <si>
    <t>FF Chris Hudson</t>
  </si>
  <si>
    <t>WHITTLESEY</t>
  </si>
  <si>
    <t>WC Mark Brown</t>
  </si>
  <si>
    <t>CC Jason Burrill</t>
  </si>
  <si>
    <t>CC Russell Moon</t>
  </si>
  <si>
    <t>CC Vernon Lloyd</t>
  </si>
  <si>
    <t>CC Kevin Gilbert</t>
  </si>
  <si>
    <t>FF Daniel Barsby</t>
  </si>
  <si>
    <t>FF Sean Dunthorne</t>
  </si>
  <si>
    <t>FF Martin Harriss</t>
  </si>
  <si>
    <t>FF Callum Hodgkin</t>
  </si>
  <si>
    <t>FF Colin Richards</t>
  </si>
  <si>
    <t>FF Mark Rogers</t>
  </si>
  <si>
    <t>FF Dean Johnson</t>
  </si>
  <si>
    <t>ELY</t>
  </si>
  <si>
    <t>WISBEACH</t>
  </si>
  <si>
    <t>YAXLEY</t>
  </si>
  <si>
    <t>SUTTON</t>
  </si>
  <si>
    <t>STANGROUND</t>
  </si>
  <si>
    <t>DOGSTHORPE</t>
  </si>
  <si>
    <t>WR1</t>
  </si>
  <si>
    <t>WR2</t>
  </si>
  <si>
    <t>WR3</t>
  </si>
  <si>
    <t>WR4</t>
  </si>
  <si>
    <t>NOT COMPLETE!!!</t>
  </si>
  <si>
    <t>_C27P4</t>
  </si>
  <si>
    <t>_C27P5</t>
  </si>
  <si>
    <t>_C27C9</t>
  </si>
  <si>
    <t>_C27R5</t>
  </si>
  <si>
    <t>_C07P3</t>
  </si>
  <si>
    <t>_C11P3</t>
  </si>
  <si>
    <t>_C23P3</t>
  </si>
  <si>
    <t>_C26P3</t>
  </si>
  <si>
    <t>_C09P3</t>
  </si>
  <si>
    <t>_C04P3</t>
  </si>
  <si>
    <t>_C22P3</t>
  </si>
  <si>
    <t>_C21P3</t>
  </si>
  <si>
    <t>_C21P4</t>
  </si>
  <si>
    <t>_C12P3</t>
  </si>
  <si>
    <t>_C15P3</t>
  </si>
  <si>
    <t>_C24P3</t>
  </si>
  <si>
    <t>_C24P4</t>
  </si>
  <si>
    <t>_C24W7</t>
  </si>
  <si>
    <t>_C10P3</t>
  </si>
  <si>
    <t>_C25P3</t>
  </si>
  <si>
    <t>_C06P3</t>
  </si>
  <si>
    <t>_C06P4</t>
  </si>
  <si>
    <t>_C28P3</t>
  </si>
  <si>
    <t>_C28P4</t>
  </si>
  <si>
    <t>_C02P3</t>
  </si>
  <si>
    <t>_C13P4</t>
  </si>
  <si>
    <t>_C13P5</t>
  </si>
  <si>
    <t>_C13H9</t>
  </si>
  <si>
    <t>_C19P3</t>
  </si>
  <si>
    <t>_C18P3</t>
  </si>
  <si>
    <t>_C03P3</t>
  </si>
  <si>
    <t>_C05P4</t>
  </si>
  <si>
    <t>_C05P5</t>
  </si>
  <si>
    <t>_C20P5</t>
  </si>
  <si>
    <t>_C20P4</t>
  </si>
  <si>
    <t>_C17P3</t>
  </si>
  <si>
    <t>Search</t>
  </si>
  <si>
    <t>Fire</t>
  </si>
  <si>
    <t>Lobby</t>
  </si>
  <si>
    <t>Water</t>
  </si>
  <si>
    <t>Logistics</t>
  </si>
  <si>
    <t>Safety</t>
  </si>
  <si>
    <t>Ba</t>
  </si>
  <si>
    <t>Decon</t>
  </si>
  <si>
    <t>Incident Commander</t>
  </si>
  <si>
    <t>OP's Commander</t>
  </si>
  <si>
    <t>Liason Officer</t>
  </si>
  <si>
    <t>HEMPO</t>
  </si>
  <si>
    <t>Fire Investigation</t>
  </si>
  <si>
    <t>Accident Investigation</t>
  </si>
  <si>
    <t>Observer</t>
  </si>
  <si>
    <t>WC Phill Pilbeam</t>
  </si>
  <si>
    <t>WC John Chelton</t>
  </si>
  <si>
    <t>CC Clive Griffin</t>
  </si>
  <si>
    <t>CC Rob Wade</t>
  </si>
  <si>
    <t>CC Tim Carr</t>
  </si>
  <si>
    <t>FF Mathew Buckler</t>
  </si>
  <si>
    <t>FF Kevin Cherry</t>
  </si>
  <si>
    <t>FF Billy May</t>
  </si>
  <si>
    <t>FF Gary Reach</t>
  </si>
  <si>
    <t>FF Luke Prior</t>
  </si>
  <si>
    <t>FF Shaun Bailes</t>
  </si>
  <si>
    <t>FF Kevin Gilbert</t>
  </si>
  <si>
    <t>CC Ian Cuthill</t>
  </si>
  <si>
    <t>CC Richard Stebbing</t>
  </si>
  <si>
    <t>CC Simon Medlock</t>
  </si>
  <si>
    <t>FF Mathew Beare</t>
  </si>
  <si>
    <t>FF Luke Green</t>
  </si>
  <si>
    <t>FF Max Coles</t>
  </si>
  <si>
    <t>FF Nathan Steel</t>
  </si>
  <si>
    <t>FF Simon Frampton</t>
  </si>
  <si>
    <t>FF Tony Mandato</t>
  </si>
  <si>
    <t>Wc John Cox</t>
  </si>
  <si>
    <t>CC Phil Coates</t>
  </si>
  <si>
    <t>CC Jamie Bovington</t>
  </si>
  <si>
    <t>CC Graham Duff</t>
  </si>
  <si>
    <t>FF Bob Ratcliffe</t>
  </si>
  <si>
    <t>FF Ashley McMullon</t>
  </si>
  <si>
    <t>_C16P5</t>
  </si>
  <si>
    <t>_C16P6</t>
  </si>
  <si>
    <t>SECTOR 2</t>
  </si>
  <si>
    <t>SECTOR 3</t>
  </si>
  <si>
    <t>SECTOR 4</t>
  </si>
  <si>
    <t>sector 2</t>
  </si>
  <si>
    <t>sector 3</t>
  </si>
  <si>
    <t>sector 4</t>
  </si>
  <si>
    <t>FF Linford Desborough</t>
  </si>
  <si>
    <t>FF John-Paul Griffin</t>
  </si>
  <si>
    <t>FF Adam Layton</t>
  </si>
  <si>
    <t>FF Julian Hewitt</t>
  </si>
  <si>
    <t>FF Tony Fitzjohn</t>
  </si>
  <si>
    <t>FF Jessica Stebbings</t>
  </si>
  <si>
    <t>huntingdon</t>
  </si>
  <si>
    <t>Linton</t>
  </si>
  <si>
    <t>Petebough Vols</t>
  </si>
  <si>
    <t>Yaxley</t>
  </si>
  <si>
    <t>Whittlesy</t>
  </si>
  <si>
    <t>Thorney</t>
  </si>
  <si>
    <t>Wisbeach</t>
  </si>
  <si>
    <t>Kimbolton</t>
  </si>
  <si>
    <t>Cottenham</t>
  </si>
  <si>
    <t>Sectors</t>
  </si>
  <si>
    <t>DATE</t>
  </si>
  <si>
    <t>TIME</t>
  </si>
  <si>
    <t>STATION</t>
  </si>
  <si>
    <t>CONTACT NO.</t>
  </si>
  <si>
    <t>FAULT</t>
  </si>
  <si>
    <t>ICU LOG FAULT REPORT</t>
  </si>
  <si>
    <t>Location</t>
  </si>
  <si>
    <r>
      <t xml:space="preserve">Temp </t>
    </r>
    <r>
      <rPr>
        <b/>
        <sz val="11"/>
        <color theme="1"/>
        <rFont val="Wingdings"/>
        <charset val="2"/>
      </rPr>
      <t></t>
    </r>
    <r>
      <rPr>
        <b/>
        <sz val="11"/>
        <color theme="1"/>
        <rFont val="Calibri"/>
        <family val="2"/>
      </rPr>
      <t>c</t>
    </r>
  </si>
  <si>
    <t>Temperature Log</t>
  </si>
  <si>
    <t>ICU NOTES PAGE</t>
  </si>
  <si>
    <t>Additional Appliances</t>
  </si>
  <si>
    <t>P2</t>
  </si>
  <si>
    <t>EmployeeName</t>
  </si>
  <si>
    <t>Rank</t>
  </si>
  <si>
    <t>Station</t>
  </si>
  <si>
    <t>FLT</t>
  </si>
  <si>
    <t>PMD</t>
  </si>
  <si>
    <t>CARAD</t>
  </si>
  <si>
    <t>TL</t>
  </si>
  <si>
    <t>CAGE</t>
  </si>
  <si>
    <t>CARP</t>
  </si>
  <si>
    <t>WFR</t>
  </si>
  <si>
    <t>WRT</t>
  </si>
  <si>
    <t>WRBO</t>
  </si>
  <si>
    <t>FCOIC</t>
  </si>
  <si>
    <t>Q</t>
  </si>
  <si>
    <t>D</t>
  </si>
  <si>
    <t>Derek Lines</t>
  </si>
  <si>
    <t>Lee Harris</t>
  </si>
  <si>
    <t>Kevin Partridge</t>
  </si>
  <si>
    <t>Mark Edgley</t>
  </si>
  <si>
    <t>A23</t>
  </si>
  <si>
    <t>Roger Nunn</t>
  </si>
  <si>
    <t>Paul Stephens</t>
  </si>
  <si>
    <t>Robert Edwards</t>
  </si>
  <si>
    <t>Nigel James</t>
  </si>
  <si>
    <t>Nick Mumford</t>
  </si>
  <si>
    <t>Alex Chrysanthou</t>
  </si>
  <si>
    <t>Kevin Carpenter</t>
  </si>
  <si>
    <t>Andrew Davis</t>
  </si>
  <si>
    <t>B11</t>
  </si>
  <si>
    <t>Holly Golder</t>
  </si>
  <si>
    <t>Jason Gore</t>
  </si>
  <si>
    <t>Wayne Hipgrave</t>
  </si>
  <si>
    <t>Richard Petch</t>
  </si>
  <si>
    <t>Paul Fordham</t>
  </si>
  <si>
    <t>B06</t>
  </si>
  <si>
    <t>David Hobbs</t>
  </si>
  <si>
    <t>Alex Irvine</t>
  </si>
  <si>
    <t>Tom Quinn-Nicholls</t>
  </si>
  <si>
    <t>Rebecca White</t>
  </si>
  <si>
    <t>Richard Powell</t>
  </si>
  <si>
    <t>Giles Fuller</t>
  </si>
  <si>
    <t>Andrew Harrison</t>
  </si>
  <si>
    <t>B04</t>
  </si>
  <si>
    <t>Simon Law</t>
  </si>
  <si>
    <t>David Murfitt</t>
  </si>
  <si>
    <t>Paul Oakes</t>
  </si>
  <si>
    <t>James Sharp</t>
  </si>
  <si>
    <t>Martin Claydon</t>
  </si>
  <si>
    <t>B07</t>
  </si>
  <si>
    <t>Tony Estall</t>
  </si>
  <si>
    <t>Phil Hubbard</t>
  </si>
  <si>
    <t>Warren Langford</t>
  </si>
  <si>
    <t>Simon Muir</t>
  </si>
  <si>
    <t>Marcus Rawlinson</t>
  </si>
  <si>
    <t>Chris Stearne</t>
  </si>
  <si>
    <t>Garry Ward</t>
  </si>
  <si>
    <t>John Cox</t>
  </si>
  <si>
    <t>A17</t>
  </si>
  <si>
    <t>Graham Duff</t>
  </si>
  <si>
    <t>Bob Ratcliffe</t>
  </si>
  <si>
    <t>Mark Brokenshire</t>
  </si>
  <si>
    <t>A28</t>
  </si>
  <si>
    <t>Paul Morehen</t>
  </si>
  <si>
    <t>A19</t>
  </si>
  <si>
    <t>Colin Bartlett</t>
  </si>
  <si>
    <t>Gareth Horrocks</t>
  </si>
  <si>
    <t>Steven Lloyd</t>
  </si>
  <si>
    <t>Chris Hudson</t>
  </si>
  <si>
    <t>TONY DE MATTEIS</t>
  </si>
  <si>
    <t>A15</t>
  </si>
  <si>
    <t>Mark Addinall</t>
  </si>
  <si>
    <t>NICK COWLEY</t>
  </si>
  <si>
    <t>WILL BAKER</t>
  </si>
  <si>
    <t>Michael Fishpoole</t>
  </si>
  <si>
    <t>B02</t>
  </si>
  <si>
    <t>Jason Leach</t>
  </si>
  <si>
    <t>Stephen Tibbett</t>
  </si>
  <si>
    <t>Daniel Granger</t>
  </si>
  <si>
    <t>Julian Bridgeman</t>
  </si>
  <si>
    <t>M SCRUBY</t>
  </si>
  <si>
    <t>Ben Anstee</t>
  </si>
  <si>
    <t>Tony Fitzjohn</t>
  </si>
  <si>
    <t>A18</t>
  </si>
  <si>
    <t>Martin Harriss</t>
  </si>
  <si>
    <t>Mark Brown</t>
  </si>
  <si>
    <t>Jason Burrill</t>
  </si>
  <si>
    <t>Russell Moon</t>
  </si>
  <si>
    <t>Colin Richards</t>
  </si>
  <si>
    <t>Mark Rogers</t>
  </si>
  <si>
    <t>Sean Dunthorne</t>
  </si>
  <si>
    <t>Russell Gooderham</t>
  </si>
  <si>
    <t>A26</t>
  </si>
  <si>
    <t>Adam Woodbine</t>
  </si>
  <si>
    <t>L HALSALL</t>
  </si>
  <si>
    <t>Ian Skingsley</t>
  </si>
  <si>
    <t>Darren Fox</t>
  </si>
  <si>
    <t>B05</t>
  </si>
  <si>
    <t>Darryl Sharp</t>
  </si>
  <si>
    <t>B03</t>
  </si>
  <si>
    <t>Rachel Casbon</t>
  </si>
  <si>
    <t>Andrew Hill</t>
  </si>
  <si>
    <t>Ian Cuthill</t>
  </si>
  <si>
    <t>A20</t>
  </si>
  <si>
    <t>Robert Robinson</t>
  </si>
  <si>
    <t>B13</t>
  </si>
  <si>
    <t>M HOUSDEN ME</t>
  </si>
  <si>
    <t>Andy Jones</t>
  </si>
  <si>
    <t>Paul Spoelstra</t>
  </si>
  <si>
    <t>M Housden Mj</t>
  </si>
  <si>
    <t>David Shaw</t>
  </si>
  <si>
    <t>Jon-paul Jones</t>
  </si>
  <si>
    <t>Steve Browne</t>
  </si>
  <si>
    <t>Robert Smith</t>
  </si>
  <si>
    <t>Anthony Burton</t>
  </si>
  <si>
    <t>A22</t>
  </si>
  <si>
    <t>Matthew Lacey</t>
  </si>
  <si>
    <t>Mark Milner</t>
  </si>
  <si>
    <t>Anthony Raine</t>
  </si>
  <si>
    <t>A21</t>
  </si>
  <si>
    <t>Darren Biggs</t>
  </si>
  <si>
    <t>Richard Broad</t>
  </si>
  <si>
    <t>Wayne Marshall</t>
  </si>
  <si>
    <t>Adrian Bradshaw</t>
  </si>
  <si>
    <t>Anthony Bird</t>
  </si>
  <si>
    <t>Andrew Powell</t>
  </si>
  <si>
    <t>Tony Thacker</t>
  </si>
  <si>
    <t>A24</t>
  </si>
  <si>
    <t>Andy Ellington</t>
  </si>
  <si>
    <t>Daniel Thacker</t>
  </si>
  <si>
    <t>Phil Thacker</t>
  </si>
  <si>
    <t>M DODKIN</t>
  </si>
  <si>
    <t>B10</t>
  </si>
  <si>
    <t>S MOORE</t>
  </si>
  <si>
    <t>N POOL</t>
  </si>
  <si>
    <t>Robert Boswell</t>
  </si>
  <si>
    <t>Thomas Howlett</t>
  </si>
  <si>
    <t>B12</t>
  </si>
  <si>
    <t>J TURNER</t>
  </si>
  <si>
    <t>Martin Ward</t>
  </si>
  <si>
    <t>David Killner</t>
  </si>
  <si>
    <t>A25</t>
  </si>
  <si>
    <t>Richard Boston</t>
  </si>
  <si>
    <t>Carl Gilbert</t>
  </si>
  <si>
    <t>Phillip Hill</t>
  </si>
  <si>
    <t>Lee Allen</t>
  </si>
  <si>
    <t>B09</t>
  </si>
  <si>
    <t>Alan Baker</t>
  </si>
  <si>
    <t>Gary Doggett</t>
  </si>
  <si>
    <t>Stephen Jackson</t>
  </si>
  <si>
    <t>Craig Golightly</t>
  </si>
  <si>
    <t>Clive Allen</t>
  </si>
  <si>
    <t>Phil Pilbeam</t>
  </si>
  <si>
    <t>Shaun Bailes</t>
  </si>
  <si>
    <t>Matthew Buckler</t>
  </si>
  <si>
    <t>Kevin Cherry</t>
  </si>
  <si>
    <t>Gary Reach</t>
  </si>
  <si>
    <t>Rob Wabe</t>
  </si>
  <si>
    <t>Luke Prior</t>
  </si>
  <si>
    <t>David Brooks</t>
  </si>
  <si>
    <t>Adam Newman</t>
  </si>
  <si>
    <t>Jez Corney</t>
  </si>
  <si>
    <t>J BOVINGTON</t>
  </si>
  <si>
    <t>Richard Stebbing</t>
  </si>
  <si>
    <t>Simon Mayes</t>
  </si>
  <si>
    <t>Steve Bissett</t>
  </si>
  <si>
    <t>Andrew Lister</t>
  </si>
  <si>
    <t>Mark Lewis</t>
  </si>
  <si>
    <t>Jon Wade</t>
  </si>
  <si>
    <t>Ian Peacock</t>
  </si>
  <si>
    <t>Stuart Cox</t>
  </si>
  <si>
    <t>Simon Medlock</t>
  </si>
  <si>
    <t>Matthew Beare</t>
  </si>
  <si>
    <t>Malcolm Cornwell</t>
  </si>
  <si>
    <t>Gary Smalley</t>
  </si>
  <si>
    <t>Gabriel Hearnshaw</t>
  </si>
  <si>
    <t>Roly Rimmer</t>
  </si>
  <si>
    <t>Jason Mansfield</t>
  </si>
  <si>
    <t>James Mole-Weir</t>
  </si>
  <si>
    <t>Ben Sams</t>
  </si>
  <si>
    <t>Richard Gethin</t>
  </si>
  <si>
    <t>R DAVIS</t>
  </si>
  <si>
    <t>Agata Wieczorek</t>
  </si>
  <si>
    <t>Jack Anderson</t>
  </si>
  <si>
    <t>A GOULD</t>
  </si>
  <si>
    <t>J BENTON</t>
  </si>
  <si>
    <t>Darren Dexter</t>
  </si>
  <si>
    <t>Wayne Pringle</t>
  </si>
  <si>
    <t>FF _B10.FF01</t>
  </si>
  <si>
    <t>Adam Peacock</t>
  </si>
  <si>
    <t>Roy Kent</t>
  </si>
  <si>
    <t>Sebastian Croot</t>
  </si>
  <si>
    <t>Daniel Hall</t>
  </si>
  <si>
    <t>Chris Smith</t>
  </si>
  <si>
    <t xml:space="preserve"> _A27.FF01</t>
  </si>
  <si>
    <t xml:space="preserve"> _B02.FF01</t>
  </si>
  <si>
    <t xml:space="preserve"> _A17.FF01</t>
  </si>
  <si>
    <t>Linford Desborough</t>
  </si>
  <si>
    <t>Duncan Fraser</t>
  </si>
  <si>
    <t>Phil Coates</t>
  </si>
  <si>
    <t>Kiel Porter</t>
  </si>
  <si>
    <t xml:space="preserve"> _B07.FF01</t>
  </si>
  <si>
    <t>Sam Hall</t>
  </si>
  <si>
    <t xml:space="preserve"> _A28.FF01</t>
  </si>
  <si>
    <t xml:space="preserve"> _A18.FF01</t>
  </si>
  <si>
    <t>Andrew Claridge</t>
  </si>
  <si>
    <t>Liam Siddons</t>
  </si>
  <si>
    <t xml:space="preserve"> _A19.FF01</t>
  </si>
  <si>
    <t xml:space="preserve"> _A20.FF01</t>
  </si>
  <si>
    <t xml:space="preserve"> _A20.FF02</t>
  </si>
  <si>
    <t xml:space="preserve"> _A21.FF01</t>
  </si>
  <si>
    <t xml:space="preserve"> _A22.FF01</t>
  </si>
  <si>
    <t xml:space="preserve"> _A22.FF03</t>
  </si>
  <si>
    <t xml:space="preserve"> _A23.FF01</t>
  </si>
  <si>
    <t xml:space="preserve"> _A24.FF01</t>
  </si>
  <si>
    <t xml:space="preserve"> _A25.FF01</t>
  </si>
  <si>
    <t xml:space="preserve"> _A26.FF01</t>
  </si>
  <si>
    <t xml:space="preserve"> _B03.FF01</t>
  </si>
  <si>
    <t xml:space="preserve"> _B04.FF01</t>
  </si>
  <si>
    <t xml:space="preserve"> _B05.FF01</t>
  </si>
  <si>
    <t xml:space="preserve"> _B05.FF02</t>
  </si>
  <si>
    <t xml:space="preserve"> _B05.FF03</t>
  </si>
  <si>
    <t xml:space="preserve"> _B06.FF01</t>
  </si>
  <si>
    <t xml:space="preserve"> _B09.FF01</t>
  </si>
  <si>
    <t xml:space="preserve"> _B11.FF01</t>
  </si>
  <si>
    <t xml:space="preserve"> _B12.FF01</t>
  </si>
  <si>
    <t xml:space="preserve"> _B13.FF01</t>
  </si>
  <si>
    <t>John Wolfe</t>
  </si>
  <si>
    <t>Patrick Whitton</t>
  </si>
  <si>
    <t>Jessica Stebbings</t>
  </si>
  <si>
    <t>Andrew Boughen</t>
  </si>
  <si>
    <t>S MCCANDLESS</t>
  </si>
  <si>
    <t>Kevin Hall</t>
  </si>
  <si>
    <t>Kevin Gilbert</t>
  </si>
  <si>
    <t>Matthew Dennington</t>
  </si>
  <si>
    <t>Ashley Mcmullon</t>
  </si>
  <si>
    <t>Matthew Wilson</t>
  </si>
  <si>
    <t>Adrian Watson</t>
  </si>
  <si>
    <t>Billy May</t>
  </si>
  <si>
    <t>J KNAPPETT</t>
  </si>
  <si>
    <t>J Hunter</t>
  </si>
  <si>
    <t>Matt House</t>
  </si>
  <si>
    <t>Phil Hyland</t>
  </si>
  <si>
    <t>G Mullane</t>
  </si>
  <si>
    <t>P FERGUSON</t>
  </si>
  <si>
    <t>Callum Hodgkin</t>
  </si>
  <si>
    <t>Steve Rackley</t>
  </si>
  <si>
    <t>James Fenna</t>
  </si>
  <si>
    <t>Ben Walbanke-Taylor</t>
  </si>
  <si>
    <t>Ian Grimshaw</t>
  </si>
  <si>
    <t>David Broach</t>
  </si>
  <si>
    <t>Phillip Benton</t>
  </si>
  <si>
    <t>Daniel Foord</t>
  </si>
  <si>
    <t>Guy Jarman</t>
  </si>
  <si>
    <t>Daniel Barsby</t>
  </si>
  <si>
    <t>Ryan Young</t>
  </si>
  <si>
    <t>Roger Pake</t>
  </si>
  <si>
    <t>Martin Barnes</t>
  </si>
  <si>
    <t>John Reynolds</t>
  </si>
  <si>
    <t>Matthew Webster</t>
  </si>
  <si>
    <t>Tom Bellinger</t>
  </si>
  <si>
    <t>Vernon Lloyd</t>
  </si>
  <si>
    <t>Sonya Hawes</t>
  </si>
  <si>
    <t>TDG</t>
  </si>
  <si>
    <t>Marc Bynoe</t>
  </si>
  <si>
    <t>Cliff Roberts</t>
  </si>
  <si>
    <t>Gordon Grant</t>
  </si>
  <si>
    <t>Martin Holmes</t>
  </si>
  <si>
    <t>Ady Strowger</t>
  </si>
  <si>
    <t>Max Coles</t>
  </si>
  <si>
    <t>Helen Cryer</t>
  </si>
  <si>
    <t>Jason Green</t>
  </si>
  <si>
    <t>Luke Green</t>
  </si>
  <si>
    <t>Vicky Vata</t>
  </si>
  <si>
    <t>Matthew Seymour</t>
  </si>
  <si>
    <t>Nick Keymer</t>
  </si>
  <si>
    <t>Martin Dunn</t>
  </si>
  <si>
    <t>James Chalklin</t>
  </si>
  <si>
    <t>Alex Graham</t>
  </si>
  <si>
    <t>Lenny Gray</t>
  </si>
  <si>
    <t>Tony Mandato</t>
  </si>
  <si>
    <t>Liam Mountford</t>
  </si>
  <si>
    <t>Jason Parker</t>
  </si>
  <si>
    <t>SIMON ROBINSON</t>
  </si>
  <si>
    <t>James Parish</t>
  </si>
  <si>
    <t>Dean Johnson</t>
  </si>
  <si>
    <t>Simon Frampton</t>
  </si>
  <si>
    <t>Nathan Glover</t>
  </si>
  <si>
    <t>Martin Wallis</t>
  </si>
  <si>
    <t>Tim Carr</t>
  </si>
  <si>
    <t>Dezmond Lartey</t>
  </si>
  <si>
    <t>Thomas Bingley</t>
  </si>
  <si>
    <t>Daniel Workman</t>
  </si>
  <si>
    <t>Daniel Wright</t>
  </si>
  <si>
    <t>Hannah Goodchild</t>
  </si>
  <si>
    <t>Mark Roberts</t>
  </si>
  <si>
    <t>Evan Fisher</t>
  </si>
  <si>
    <t>Scott Fretwell</t>
  </si>
  <si>
    <t>Dave Frickleton</t>
  </si>
  <si>
    <t>Kev Turner</t>
  </si>
  <si>
    <t>Nigel Smith</t>
  </si>
  <si>
    <t>Steven White</t>
  </si>
  <si>
    <t>Paul Hudson</t>
  </si>
  <si>
    <t>Neil Roberts</t>
  </si>
  <si>
    <t>Matt Arthur</t>
  </si>
  <si>
    <t>Mark Minns</t>
  </si>
  <si>
    <t>Will Stevens</t>
  </si>
  <si>
    <t>Caroline Dixon</t>
  </si>
  <si>
    <t>Chris Cornell</t>
  </si>
  <si>
    <t>Aaron Dunmore</t>
  </si>
  <si>
    <t>Josh Muir</t>
  </si>
  <si>
    <t>Dayle Duguid</t>
  </si>
  <si>
    <t>David Carrington</t>
  </si>
  <si>
    <t>Tom Dockerill</t>
  </si>
  <si>
    <t>Nick Lake</t>
  </si>
  <si>
    <t>Tim Thompson</t>
  </si>
  <si>
    <t>NA</t>
  </si>
  <si>
    <t>A16</t>
  </si>
  <si>
    <t>Jerome Neville</t>
  </si>
  <si>
    <t>A14</t>
  </si>
  <si>
    <t>Stephen Peacock</t>
  </si>
  <si>
    <t>Darren Thompson</t>
  </si>
  <si>
    <t>Stuart Smith</t>
  </si>
  <si>
    <t>Scott Feveyear</t>
  </si>
  <si>
    <t>Gareth Boyd</t>
  </si>
  <si>
    <t>David Mcquillen</t>
  </si>
  <si>
    <t>Quinton Roach</t>
  </si>
  <si>
    <t>Peter Faulder</t>
  </si>
  <si>
    <t>Greg Brown</t>
  </si>
  <si>
    <t>Darren Edwards</t>
  </si>
  <si>
    <t>Vicky Best</t>
  </si>
  <si>
    <t>Andy Russell</t>
  </si>
  <si>
    <t>Les March</t>
  </si>
  <si>
    <t>Jake Cucciniello</t>
  </si>
  <si>
    <t>Dave Ashford</t>
  </si>
  <si>
    <t>Jim Thompson</t>
  </si>
  <si>
    <t>Chris Kelly</t>
  </si>
  <si>
    <t>Jason Lindley</t>
  </si>
  <si>
    <t>Jamie Johnson</t>
  </si>
  <si>
    <t>Jamie Harker</t>
  </si>
  <si>
    <t>Clive Halls</t>
  </si>
  <si>
    <t>Barry Boreham</t>
  </si>
  <si>
    <t>Phil Gould</t>
  </si>
  <si>
    <t>Paul Ruff</t>
  </si>
  <si>
    <t>Julian Stebbing</t>
  </si>
  <si>
    <t>Matthew Clapinson</t>
  </si>
  <si>
    <t>Richard Wilkinson</t>
  </si>
  <si>
    <t>Richard Hammond</t>
  </si>
  <si>
    <t>Neil Hoskin</t>
  </si>
  <si>
    <t>Darren Cleveland</t>
  </si>
  <si>
    <t>Stuart Follen</t>
  </si>
  <si>
    <t>Matthew Hubbard</t>
  </si>
  <si>
    <t>Jonathan Scully</t>
  </si>
  <si>
    <t>B01</t>
  </si>
  <si>
    <t>Kevin Robbs</t>
  </si>
  <si>
    <t>Rob Robinson</t>
  </si>
  <si>
    <t>Rob Allport</t>
  </si>
  <si>
    <t>Andy Smith</t>
  </si>
  <si>
    <t>Jon Crowley</t>
  </si>
  <si>
    <t>Philip Mcquillen</t>
  </si>
  <si>
    <t>Gavin Bufton</t>
  </si>
  <si>
    <t>Nigel Measures</t>
  </si>
  <si>
    <t>Ian Gibbins</t>
  </si>
  <si>
    <t>Philip Coates</t>
  </si>
  <si>
    <t>Nev Burgess</t>
  </si>
  <si>
    <t>Matt Woodcock</t>
  </si>
  <si>
    <t>Andrew Cottingham</t>
  </si>
  <si>
    <t>Andrew Titmuss</t>
  </si>
  <si>
    <t>Jason Fox</t>
  </si>
  <si>
    <t>Simon Stokell</t>
  </si>
  <si>
    <t>Mark Moloney</t>
  </si>
  <si>
    <t>Gary Beacher</t>
  </si>
  <si>
    <t>Dale Pickstone</t>
  </si>
  <si>
    <t>David Hillier</t>
  </si>
  <si>
    <t>Dougie Gallimore</t>
  </si>
  <si>
    <t>Karl Gockel</t>
  </si>
  <si>
    <t>Lee Forster</t>
  </si>
  <si>
    <t>Gordon Scott</t>
  </si>
  <si>
    <t>Kevin Turner</t>
  </si>
  <si>
    <t>Philip Pilbeam</t>
  </si>
  <si>
    <t>John Chelton</t>
  </si>
  <si>
    <t>Clive Griffin</t>
  </si>
  <si>
    <t>Adrian Moore</t>
  </si>
  <si>
    <t>Kev Cherry</t>
  </si>
  <si>
    <t>Gary Doughty</t>
  </si>
  <si>
    <t>Eddie Theaker</t>
  </si>
  <si>
    <t>Trevor Lindsay</t>
  </si>
  <si>
    <t>William Collins</t>
  </si>
  <si>
    <t>Chris Pike</t>
  </si>
  <si>
    <t>Kevin Creaton</t>
  </si>
  <si>
    <t>Alison Pardon</t>
  </si>
  <si>
    <t>Brian Ferguson</t>
  </si>
  <si>
    <t>Mark Southwood</t>
  </si>
  <si>
    <t>Jon Frame</t>
  </si>
  <si>
    <t>Ian Smith</t>
  </si>
  <si>
    <t>Paul Burgess</t>
  </si>
  <si>
    <t>Stuart Clarke</t>
  </si>
  <si>
    <t>Wayne Pennells</t>
  </si>
  <si>
    <t>Becky Freeman</t>
  </si>
  <si>
    <t>Adam Cornthwaite</t>
  </si>
  <si>
    <t>Jon Bowyer</t>
  </si>
  <si>
    <t>Paul Whitaker</t>
  </si>
  <si>
    <t>Richard Walton</t>
  </si>
  <si>
    <t>Daniel Heathcote</t>
  </si>
  <si>
    <t>Paul Greenhalgh</t>
  </si>
  <si>
    <t>Ed Bailey</t>
  </si>
  <si>
    <t>Scott Newbon</t>
  </si>
  <si>
    <t>Robin Hodgson</t>
  </si>
  <si>
    <t>Mark Sansum</t>
  </si>
  <si>
    <t>Scott Wormald</t>
  </si>
  <si>
    <t>John Tyrrell</t>
  </si>
  <si>
    <t>Laura Barrow</t>
  </si>
  <si>
    <t>Peter Ashby</t>
  </si>
  <si>
    <t>Stephen Conway</t>
  </si>
  <si>
    <t>Adrian Strowger</t>
  </si>
  <si>
    <t>Ben Hutchings</t>
  </si>
  <si>
    <t>Naomi Heales</t>
  </si>
  <si>
    <t>Craig Turner</t>
  </si>
  <si>
    <t>Steve Duffy</t>
  </si>
  <si>
    <t>Kevin Napier</t>
  </si>
  <si>
    <t>Sean Hedger</t>
  </si>
  <si>
    <t>Danny Kelly</t>
  </si>
  <si>
    <t>Graeme Alston</t>
  </si>
  <si>
    <t>Stephen Fleming</t>
  </si>
  <si>
    <t>Clive Pettit</t>
  </si>
  <si>
    <t>Edward Miller</t>
  </si>
  <si>
    <t>Robert Cowling</t>
  </si>
  <si>
    <t>Jon Smith</t>
  </si>
  <si>
    <t>Tony Burton</t>
  </si>
  <si>
    <t>Mike Himpett</t>
  </si>
  <si>
    <t>Mark Coupar</t>
  </si>
  <si>
    <t>Andrew Jones</t>
  </si>
  <si>
    <t>Gary Peacock</t>
  </si>
  <si>
    <t>Karl Jarvis</t>
  </si>
  <si>
    <t>Ben Leigh-Brown</t>
  </si>
  <si>
    <t>Ben Fawcitt</t>
  </si>
  <si>
    <t>Dave Wisbey</t>
  </si>
  <si>
    <t>Jim Sharp</t>
  </si>
  <si>
    <t>Andrew Ellington</t>
  </si>
  <si>
    <t>Tony Train</t>
  </si>
  <si>
    <t>Stephen Griffiths</t>
  </si>
  <si>
    <t>George White</t>
  </si>
  <si>
    <t>Nick Brown</t>
  </si>
  <si>
    <t>Leon Collins</t>
  </si>
  <si>
    <t>Cameron Matthews</t>
  </si>
  <si>
    <t>Tom Barrett</t>
  </si>
  <si>
    <t>Dale Allen</t>
  </si>
  <si>
    <t>Philip Hyland</t>
  </si>
  <si>
    <t>Jon Diver</t>
  </si>
  <si>
    <t>Gary Noble</t>
  </si>
  <si>
    <t>Neil Kerr</t>
  </si>
  <si>
    <t>Nicola Saunders</t>
  </si>
  <si>
    <t>Stephen O Brien</t>
  </si>
  <si>
    <t>Jeff Whitlam</t>
  </si>
  <si>
    <t>Steve Wilson</t>
  </si>
  <si>
    <t>Kevin Andrews</t>
  </si>
  <si>
    <t>Christine Fisher</t>
  </si>
  <si>
    <t>Martin Harding</t>
  </si>
  <si>
    <t>Graham George</t>
  </si>
  <si>
    <t>Joe Gacon</t>
  </si>
  <si>
    <t>Philip Walmsley</t>
  </si>
  <si>
    <t>David Rees</t>
  </si>
  <si>
    <t>Jed Cole</t>
  </si>
  <si>
    <t>Drew Scott</t>
  </si>
  <si>
    <t>Lee Beard</t>
  </si>
  <si>
    <t>John Cowling</t>
  </si>
  <si>
    <t>Adam King</t>
  </si>
  <si>
    <t>Jason Carbis</t>
  </si>
  <si>
    <t>Stuart Moore</t>
  </si>
  <si>
    <t>Paul Goldhawk</t>
  </si>
  <si>
    <t>Steve Clement</t>
  </si>
  <si>
    <t>Shaun Hubbard</t>
  </si>
  <si>
    <t>Paul Langford</t>
  </si>
  <si>
    <t>Robert Olivier</t>
  </si>
  <si>
    <t>David Oura</t>
  </si>
  <si>
    <t>Emma Davis</t>
  </si>
  <si>
    <t>Mark Goldsmith</t>
  </si>
  <si>
    <t>Jo Shippey</t>
  </si>
  <si>
    <t>Simon Marks</t>
  </si>
  <si>
    <t>Hannah Archdeacon</t>
  </si>
  <si>
    <t>Brett Mills</t>
  </si>
  <si>
    <t>Simon Thompson</t>
  </si>
  <si>
    <t>Nicola Barlow</t>
  </si>
  <si>
    <t>Robert Foreman</t>
  </si>
  <si>
    <t>Dominic Mould</t>
  </si>
  <si>
    <t>Jon-Paul Jones</t>
  </si>
  <si>
    <t>Vincent Crook</t>
  </si>
  <si>
    <t>Stuart Wilson</t>
  </si>
  <si>
    <t>Paul Oliver</t>
  </si>
  <si>
    <t>Steve Wisson</t>
  </si>
  <si>
    <t>Paul Joy</t>
  </si>
  <si>
    <t>Patricia Clarke</t>
  </si>
  <si>
    <t>HQ</t>
  </si>
  <si>
    <t>Heather Day</t>
  </si>
  <si>
    <t>Sandra Dacey</t>
  </si>
  <si>
    <t>Karen Gow</t>
  </si>
  <si>
    <t>Ian Barlow</t>
  </si>
  <si>
    <t>Jo Teasdale</t>
  </si>
  <si>
    <t>Donna Stebbing</t>
  </si>
  <si>
    <t>Carla Whymark</t>
  </si>
  <si>
    <t>Carly Devine</t>
  </si>
  <si>
    <t>Tania Clark</t>
  </si>
  <si>
    <t>Kerry Balmer</t>
  </si>
  <si>
    <t>Jenni Boyd</t>
  </si>
  <si>
    <t>Heidi Dresman</t>
  </si>
  <si>
    <t>Sharon Salerno</t>
  </si>
  <si>
    <t>Nicky Hoad</t>
  </si>
  <si>
    <t>Joanne Reynolds</t>
  </si>
  <si>
    <t>Rachel Band</t>
  </si>
  <si>
    <t>Sue Taylor-Peach</t>
  </si>
  <si>
    <t>Chris Cox</t>
  </si>
  <si>
    <t>Nicky Tennant</t>
  </si>
  <si>
    <t>Heidi Lindsay</t>
  </si>
  <si>
    <t>Lynne Newman</t>
  </si>
  <si>
    <t>Justine Salazar</t>
  </si>
  <si>
    <t>Carole Goldsmith</t>
  </si>
  <si>
    <t>Suzanne Tibbetts</t>
  </si>
  <si>
    <t>Tamara Cook</t>
  </si>
  <si>
    <t>Kirsty Hounslea</t>
  </si>
  <si>
    <t>Teri Seaber</t>
  </si>
  <si>
    <t>Paul Witt</t>
  </si>
  <si>
    <t>Tirzah Chrisp</t>
  </si>
  <si>
    <t>Debbie Vickers</t>
  </si>
  <si>
    <t>Clare Smith</t>
  </si>
  <si>
    <t>Maurice Moore</t>
  </si>
  <si>
    <t>Andy Watson</t>
  </si>
  <si>
    <t>Rick Hylton</t>
  </si>
  <si>
    <t>Philip Hill</t>
  </si>
  <si>
    <t>Martin Brown</t>
  </si>
  <si>
    <t>Brenan Morgan</t>
  </si>
  <si>
    <t>Dave Allen</t>
  </si>
  <si>
    <t>Alan Brown</t>
  </si>
  <si>
    <t>Jon Neish</t>
  </si>
  <si>
    <t>Dave RichaRdson</t>
  </si>
  <si>
    <t>Ryan Stacey</t>
  </si>
  <si>
    <t>Mick Lawrence</t>
  </si>
  <si>
    <t>Nick Foster</t>
  </si>
  <si>
    <t>Steve Cotton</t>
  </si>
  <si>
    <t>Dave Warren</t>
  </si>
  <si>
    <t>Richard Dykes</t>
  </si>
  <si>
    <t>Vernon Paine</t>
  </si>
  <si>
    <t>Matthew Murdoch</t>
  </si>
  <si>
    <t>Giles Grainger</t>
  </si>
  <si>
    <t>Chris Parker</t>
  </si>
  <si>
    <t>Gavin Hammond</t>
  </si>
  <si>
    <t>Steve Elve</t>
  </si>
  <si>
    <t>Pete Jones</t>
  </si>
  <si>
    <t>Lynn Betteridge</t>
  </si>
  <si>
    <t>Martin Boome</t>
  </si>
  <si>
    <t>Nigel Burgess</t>
  </si>
  <si>
    <t>Julian Fountain</t>
  </si>
  <si>
    <t>Steve Robinson</t>
  </si>
  <si>
    <t>Ady Slack</t>
  </si>
  <si>
    <t>Andy Tucker</t>
  </si>
  <si>
    <t>Mark Bennett-Tighe</t>
  </si>
  <si>
    <t>Sean Brown</t>
  </si>
  <si>
    <t>Paul Clarke</t>
  </si>
  <si>
    <t>Mick Jackman</t>
  </si>
  <si>
    <t>Callum Faint</t>
  </si>
  <si>
    <t>Bruce Parcell</t>
  </si>
  <si>
    <t>Adrian Clarke</t>
  </si>
  <si>
    <t>Kerry Baigent</t>
  </si>
  <si>
    <t>Geoff Quince</t>
  </si>
  <si>
    <t>John Barlow</t>
  </si>
  <si>
    <t>Mike Fowler</t>
  </si>
  <si>
    <t>Harry Edge</t>
  </si>
  <si>
    <t>Bill Wilson</t>
  </si>
  <si>
    <t>Martin Ockenden</t>
  </si>
  <si>
    <t>Mick RichaRdson</t>
  </si>
  <si>
    <t>Karl Bowden</t>
  </si>
  <si>
    <t>Gary Mitchley</t>
  </si>
  <si>
    <t>Nick Border</t>
  </si>
  <si>
    <t>Jeremy Corney</t>
  </si>
  <si>
    <t>Stuart Goodwin</t>
  </si>
  <si>
    <t>Mick Marsh</t>
  </si>
  <si>
    <t>Mick Percival</t>
  </si>
  <si>
    <t>Russell Metcalfe</t>
  </si>
  <si>
    <t>Graham Morgan</t>
  </si>
  <si>
    <t>Bob Saddington</t>
  </si>
  <si>
    <t>Keith Dolan</t>
  </si>
  <si>
    <t>Farsh Raoufi</t>
  </si>
  <si>
    <t>Simon Newton</t>
  </si>
  <si>
    <t>Ian Vickers</t>
  </si>
  <si>
    <t>Carl Pardon</t>
  </si>
  <si>
    <t>Wayne Swales</t>
  </si>
  <si>
    <t>Dan Martin</t>
  </si>
  <si>
    <t>Andy Wright</t>
  </si>
  <si>
    <t>Stocker Standen</t>
  </si>
  <si>
    <t>David Lynch</t>
  </si>
  <si>
    <t>Mark Hodges</t>
  </si>
  <si>
    <t>Beresford Matthews</t>
  </si>
  <si>
    <t>test  Another</t>
  </si>
  <si>
    <t>charlotte dale</t>
  </si>
  <si>
    <t>Charlotte Harris</t>
  </si>
  <si>
    <t>Donna Claydon</t>
  </si>
  <si>
    <t>Sara Armstrong</t>
  </si>
  <si>
    <t>Sharon Langley</t>
  </si>
  <si>
    <t>Kristin Thorpe</t>
  </si>
  <si>
    <t>Robin Patchett</t>
  </si>
  <si>
    <t>Alison Thorpe</t>
  </si>
  <si>
    <t>Keely Hodges</t>
  </si>
  <si>
    <t>Paul Gascoigne</t>
  </si>
  <si>
    <t>James Supple</t>
  </si>
  <si>
    <t>Peter Bromley</t>
  </si>
  <si>
    <t>Greg Kretz</t>
  </si>
  <si>
    <t>Michele Carter</t>
  </si>
  <si>
    <t>Anna Cavaliere</t>
  </si>
  <si>
    <t>Loraine Dowsett</t>
  </si>
  <si>
    <t>Hilary Grant</t>
  </si>
  <si>
    <t>Pauline Fawcett</t>
  </si>
  <si>
    <t>Connie Clarke</t>
  </si>
  <si>
    <t>Louise Lesniak</t>
  </si>
  <si>
    <t>Lucie Collicott</t>
  </si>
  <si>
    <t>Simon Brown</t>
  </si>
  <si>
    <t>Simon Stockel</t>
  </si>
  <si>
    <t>Ian Brown</t>
  </si>
  <si>
    <t>nick foster</t>
  </si>
  <si>
    <t>Pauline Horsman</t>
  </si>
  <si>
    <t>jenny horton</t>
  </si>
  <si>
    <t>david evans</t>
  </si>
  <si>
    <t>deb fensome</t>
  </si>
  <si>
    <t>Chris Meadowcroft</t>
  </si>
  <si>
    <t>test test</t>
  </si>
  <si>
    <t>test2 test2</t>
  </si>
  <si>
    <t>FF B05 ORT</t>
  </si>
  <si>
    <t>Neil Newberry</t>
  </si>
  <si>
    <t>Chris Strickland</t>
  </si>
  <si>
    <t>Sandra Knights</t>
  </si>
  <si>
    <t>Danny Hans</t>
  </si>
  <si>
    <t>Kate Peacock</t>
  </si>
  <si>
    <t>. B05 ORT FF - 2</t>
  </si>
  <si>
    <t>Emma Morgan</t>
  </si>
  <si>
    <t>Paul Garnell</t>
  </si>
  <si>
    <t>Emily Norman</t>
  </si>
  <si>
    <t>Claire Morris</t>
  </si>
  <si>
    <t>Fay Nelson</t>
  </si>
  <si>
    <t>Alina James</t>
  </si>
  <si>
    <t>Erica Brewer</t>
  </si>
  <si>
    <t>Rob Green</t>
  </si>
  <si>
    <t>Brett Sewell</t>
  </si>
  <si>
    <t>Zoe Wren</t>
  </si>
  <si>
    <t>john fagg</t>
  </si>
  <si>
    <t>Richard Hamilton</t>
  </si>
  <si>
    <t>Simon Robinson</t>
  </si>
  <si>
    <t>James Ball</t>
  </si>
  <si>
    <t>Adam Hanney</t>
  </si>
  <si>
    <t>Kev Gilbert</t>
  </si>
  <si>
    <t>Jason Keal</t>
  </si>
  <si>
    <t>Jasper Vidot</t>
  </si>
  <si>
    <t>Andrew Ellis</t>
  </si>
  <si>
    <t>Oliver Rich</t>
  </si>
  <si>
    <t>Ross Turner</t>
  </si>
  <si>
    <t>Gavin Smith</t>
  </si>
  <si>
    <t>James Perace</t>
  </si>
  <si>
    <t>Sarah Lamming</t>
  </si>
  <si>
    <t>Oliver Ritch</t>
  </si>
  <si>
    <t>James Pearce</t>
  </si>
  <si>
    <t>Luke Atkins</t>
  </si>
  <si>
    <t>Laura McGlone</t>
  </si>
  <si>
    <t>Anjuli Cheema</t>
  </si>
  <si>
    <t>Per Middleton</t>
  </si>
  <si>
    <t>Charles Sheldon</t>
  </si>
  <si>
    <t>Peter Murphy</t>
  </si>
  <si>
    <t>Charlotte Pattle</t>
  </si>
  <si>
    <t>Heather Marsh</t>
  </si>
  <si>
    <t>Karen Stubbington</t>
  </si>
  <si>
    <t>Grant Newman</t>
  </si>
  <si>
    <t>Amy Ratcliff</t>
  </si>
  <si>
    <t>Georgina Sturgess</t>
  </si>
  <si>
    <t>Rik Green</t>
  </si>
  <si>
    <t>Ben Howells</t>
  </si>
  <si>
    <t>Rob Austin</t>
  </si>
  <si>
    <t>Alex Dalton</t>
  </si>
  <si>
    <t>Jordan Cadogan</t>
  </si>
  <si>
    <t>Sam Pearce</t>
  </si>
  <si>
    <t>Alex Hallam</t>
  </si>
  <si>
    <t>Harry Storton</t>
  </si>
  <si>
    <t>Matthew Gosney</t>
  </si>
  <si>
    <t>Chris Glading</t>
  </si>
  <si>
    <t>Bill Liu</t>
  </si>
  <si>
    <t>Shaun MacColl</t>
  </si>
  <si>
    <t>Shelley Watson</t>
  </si>
  <si>
    <t>Dan Foster</t>
  </si>
  <si>
    <t>Charlie Peacock</t>
  </si>
  <si>
    <t>Dave Barratt</t>
  </si>
  <si>
    <t>Myles Strickland</t>
  </si>
  <si>
    <t>Chloe Housden</t>
  </si>
  <si>
    <t>Rob Roy</t>
  </si>
  <si>
    <t>Guy Austin</t>
  </si>
  <si>
    <t>Matthew Johnson</t>
  </si>
  <si>
    <t>Danny Johnston</t>
  </si>
  <si>
    <t>Chelsey Bailey</t>
  </si>
  <si>
    <t>Peter Cram</t>
  </si>
  <si>
    <t>Calum Coomes</t>
  </si>
  <si>
    <t>Claire Harrington</t>
  </si>
  <si>
    <t>Jamie Bovington</t>
  </si>
  <si>
    <t>ChrisP Parker</t>
  </si>
  <si>
    <t>David Bainsfair</t>
  </si>
  <si>
    <t>Dan Thomas</t>
  </si>
  <si>
    <t>Christian Theobald</t>
  </si>
  <si>
    <t>Paul Davies</t>
  </si>
  <si>
    <t>Coco Chambers</t>
  </si>
  <si>
    <t>Adam Layton</t>
  </si>
  <si>
    <t>Craig Fishpoole</t>
  </si>
  <si>
    <t>Sam Gartside</t>
  </si>
  <si>
    <t>Employee Name</t>
  </si>
  <si>
    <t>Staff Search For Skills</t>
  </si>
  <si>
    <t>&lt;---</t>
  </si>
  <si>
    <t>Enter Employee name here.</t>
  </si>
  <si>
    <t>Sector one</t>
  </si>
  <si>
    <t>TOTALS</t>
  </si>
  <si>
    <t>Sector One</t>
  </si>
  <si>
    <t>Sector two</t>
  </si>
  <si>
    <t>Sector three</t>
  </si>
  <si>
    <t>Sector four</t>
  </si>
  <si>
    <t>N/A</t>
  </si>
  <si>
    <t>P2?</t>
  </si>
  <si>
    <t>_C01</t>
  </si>
  <si>
    <t>_C14</t>
  </si>
  <si>
    <t>_TDG</t>
  </si>
  <si>
    <t>_HQ</t>
  </si>
  <si>
    <t>Command Support</t>
  </si>
  <si>
    <t>BAEC Supervisor</t>
  </si>
  <si>
    <t>Sector Supervisor</t>
  </si>
  <si>
    <t>Total Phase 2 FF's</t>
  </si>
  <si>
    <t>s1</t>
  </si>
  <si>
    <t>s2</t>
  </si>
  <si>
    <t>s3</t>
  </si>
  <si>
    <t>s4</t>
  </si>
  <si>
    <t>s5</t>
  </si>
  <si>
    <t>s6</t>
  </si>
  <si>
    <t>s7</t>
  </si>
  <si>
    <t>s8</t>
  </si>
  <si>
    <t>m1</t>
  </si>
  <si>
    <t>m2</t>
  </si>
  <si>
    <t xml:space="preserve"> _A25.FF02</t>
  </si>
  <si>
    <t>WMB</t>
  </si>
  <si>
    <t>SMA</t>
  </si>
  <si>
    <t>CM</t>
  </si>
  <si>
    <t>Ff</t>
  </si>
  <si>
    <t>WMA</t>
  </si>
  <si>
    <t>GMA</t>
  </si>
  <si>
    <t>GMB</t>
  </si>
  <si>
    <t>SMB</t>
  </si>
  <si>
    <t>Ffd</t>
  </si>
  <si>
    <t>SMB Per Middleton</t>
  </si>
  <si>
    <t>smb</t>
  </si>
  <si>
    <t>cm</t>
  </si>
  <si>
    <t>wma</t>
  </si>
  <si>
    <t>GMB Brenan Morgan</t>
  </si>
  <si>
    <t>SMB Carl Pardon</t>
  </si>
  <si>
    <t>GMB Chris Parker</t>
  </si>
  <si>
    <t>SMB Clare Smith</t>
  </si>
  <si>
    <t>SMA Danny Kelly</t>
  </si>
  <si>
    <t>SMA David Lynch</t>
  </si>
  <si>
    <t>SMB Debbie Vickers</t>
  </si>
  <si>
    <t>SMB Gavin Hammond</t>
  </si>
  <si>
    <t>SMB Giles Grainger</t>
  </si>
  <si>
    <t>SMA Jamie Johnson</t>
  </si>
  <si>
    <t>GMA Kevin Napier</t>
  </si>
  <si>
    <t>SMB Martin Brown</t>
  </si>
  <si>
    <t>SMA Martin Ockenden</t>
  </si>
  <si>
    <t>SMB Matthew Murdoch</t>
  </si>
  <si>
    <t>SMA Paul Oliver</t>
  </si>
  <si>
    <t>SMA Pete Jones</t>
  </si>
  <si>
    <t>SMA Scott Feveyear</t>
  </si>
  <si>
    <t>GMA Simon Newton</t>
  </si>
  <si>
    <t>SMA Simon Thompson</t>
  </si>
  <si>
    <t>GMB Teri Seaber</t>
  </si>
  <si>
    <t>SMB TONY DE MATTEIS</t>
  </si>
  <si>
    <t>SMA Vicky Best</t>
  </si>
  <si>
    <t>SMB Wayne Swales</t>
  </si>
  <si>
    <t>07900 267908</t>
  </si>
  <si>
    <t>07900 267893</t>
  </si>
  <si>
    <t>07789 680821</t>
  </si>
  <si>
    <t>07808 203563</t>
  </si>
  <si>
    <t>07710 917403</t>
  </si>
  <si>
    <t>07717 858172</t>
  </si>
  <si>
    <t>07769 907922</t>
  </si>
  <si>
    <t>07710 917381</t>
  </si>
  <si>
    <t>07776 204927</t>
  </si>
  <si>
    <t>07885 970021</t>
  </si>
  <si>
    <t>07808 203536</t>
  </si>
  <si>
    <t>07825 506682</t>
  </si>
  <si>
    <t>07710 917395</t>
  </si>
  <si>
    <t>07710 917430</t>
  </si>
  <si>
    <t>01733 554439</t>
  </si>
  <si>
    <t>07802 721465</t>
  </si>
  <si>
    <t>Cambs Officer Tel List.</t>
  </si>
  <si>
    <t>07554 425128</t>
  </si>
  <si>
    <t>01480 444650</t>
  </si>
  <si>
    <t>01480 444500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</si>
</sst>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24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1"/>
      <color theme="1"/>
      <name val="Wingdings"/>
      <charset val="2"/>
    </font>
    <font>
      <b/>
      <sz val="11"/>
      <color theme="1"/>
      <name val="Calibri"/>
      <family val="2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2D2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767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B130D"/>
        <bgColor indexed="64"/>
      </patternFill>
    </fill>
    <fill>
      <patternFill patternType="solid">
        <fgColor rgb="FFFAAC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D32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rgb="FFFB130D"/>
      </left>
      <right/>
      <top style="medium">
        <color rgb="FFFB130D"/>
      </top>
      <bottom style="medium">
        <color rgb="FFFB130D"/>
      </bottom>
      <diagonal/>
    </border>
    <border>
      <left/>
      <right/>
      <top style="medium">
        <color rgb="FFFB130D"/>
      </top>
      <bottom style="medium">
        <color rgb="FFFB130D"/>
      </bottom>
      <diagonal/>
    </border>
    <border>
      <left/>
      <right style="medium">
        <color rgb="FFFB130D"/>
      </right>
      <top style="medium">
        <color rgb="FFFB130D"/>
      </top>
      <bottom style="medium">
        <color rgb="FFFB130D"/>
      </bottom>
      <diagonal/>
    </border>
  </borders>
  <cellStyleXfs count="2">
    <xf numFmtId="0" fontId="0" fillId="0" borderId="0"/>
    <xf numFmtId="0" fontId="7" fillId="0" borderId="0"/>
  </cellStyleXfs>
  <cellXfs count="381">
    <xf numFmtId="0" fontId="0" fillId="0" borderId="0" xfId="0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0" fillId="3" borderId="0" xfId="0" applyFill="1"/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5" borderId="0" xfId="0" applyFill="1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12" borderId="0" xfId="0" applyFill="1"/>
    <xf numFmtId="0" fontId="0" fillId="13" borderId="0" xfId="0" applyFill="1"/>
    <xf numFmtId="0" fontId="0" fillId="11" borderId="0" xfId="0" applyFill="1"/>
    <xf numFmtId="0" fontId="1" fillId="2" borderId="0" xfId="0" applyFont="1" applyFill="1" applyAlignment="1">
      <alignment horizontal="center" vertical="center"/>
    </xf>
    <xf numFmtId="0" fontId="0" fillId="9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6" fillId="5" borderId="0" xfId="0" applyFont="1" applyFill="1" applyAlignment="1">
      <alignment horizontal="center"/>
    </xf>
    <xf numFmtId="0" fontId="0" fillId="5" borderId="0" xfId="0" applyFill="1" applyAlignment="1">
      <alignment horizontal="right"/>
    </xf>
    <xf numFmtId="0" fontId="15" fillId="5" borderId="0" xfId="0" applyFont="1" applyFill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6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2" borderId="0" xfId="0" applyFont="1" applyFill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/>
    <xf numFmtId="0" fontId="0" fillId="2" borderId="0" xfId="0" applyFill="1" applyAlignment="1">
      <alignment horizontal="center"/>
    </xf>
    <xf numFmtId="0" fontId="0" fillId="2" borderId="0" xfId="0" applyFill="1" applyBorder="1" applyAlignment="1"/>
    <xf numFmtId="0" fontId="1" fillId="2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1" fillId="1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13" borderId="0" xfId="0" applyFill="1" applyAlignment="1"/>
    <xf numFmtId="0" fontId="2" fillId="2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/>
    <xf numFmtId="0" fontId="1" fillId="2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Alignment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" fillId="4" borderId="5" xfId="0" applyFont="1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1" fillId="4" borderId="0" xfId="0" applyFont="1" applyFill="1" applyAlignment="1" applyProtection="1">
      <alignment horizontal="right"/>
    </xf>
    <xf numFmtId="0" fontId="0" fillId="2" borderId="0" xfId="0" applyFill="1" applyBorder="1" applyProtection="1"/>
    <xf numFmtId="0" fontId="0" fillId="13" borderId="0" xfId="0" applyFill="1" applyProtection="1"/>
    <xf numFmtId="0" fontId="0" fillId="2" borderId="0" xfId="0" applyFill="1" applyAlignment="1" applyProtection="1"/>
    <xf numFmtId="0" fontId="0" fillId="0" borderId="0" xfId="0" applyAlignment="1" applyProtection="1"/>
    <xf numFmtId="0" fontId="0" fillId="2" borderId="0" xfId="0" applyFill="1" applyBorder="1" applyAlignment="1" applyProtection="1"/>
    <xf numFmtId="0" fontId="0" fillId="3" borderId="0" xfId="0" applyFill="1" applyProtection="1"/>
    <xf numFmtId="0" fontId="0" fillId="2" borderId="0" xfId="0" applyFill="1" applyBorder="1" applyAlignment="1" applyProtection="1">
      <alignment horizontal="center"/>
    </xf>
    <xf numFmtId="20" fontId="0" fillId="2" borderId="0" xfId="0" applyNumberFormat="1" applyFill="1" applyAlignment="1" applyProtection="1">
      <alignment horizontal="center"/>
    </xf>
    <xf numFmtId="20" fontId="1" fillId="3" borderId="0" xfId="0" applyNumberFormat="1" applyFont="1" applyFill="1" applyAlignment="1" applyProtection="1">
      <alignment horizontal="center"/>
      <protection locked="0"/>
    </xf>
    <xf numFmtId="0" fontId="0" fillId="3" borderId="20" xfId="0" applyFill="1" applyBorder="1" applyAlignment="1" applyProtection="1">
      <alignment horizontal="center"/>
      <protection locked="0"/>
    </xf>
    <xf numFmtId="0" fontId="1" fillId="0" borderId="20" xfId="0" applyFont="1" applyBorder="1" applyAlignment="1">
      <alignment horizontal="center"/>
    </xf>
    <xf numFmtId="0" fontId="0" fillId="0" borderId="20" xfId="0" applyBorder="1"/>
    <xf numFmtId="0" fontId="0" fillId="3" borderId="20" xfId="0" applyFill="1" applyBorder="1" applyProtection="1">
      <protection locked="0"/>
    </xf>
    <xf numFmtId="0" fontId="0" fillId="3" borderId="20" xfId="0" applyNumberFormat="1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14" fontId="0" fillId="3" borderId="20" xfId="0" applyNumberFormat="1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/>
    </xf>
    <xf numFmtId="0" fontId="1" fillId="5" borderId="13" xfId="0" applyFont="1" applyFill="1" applyBorder="1" applyAlignment="1" applyProtection="1">
      <alignment horizontal="center"/>
    </xf>
    <xf numFmtId="0" fontId="0" fillId="5" borderId="16" xfId="0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14" fontId="0" fillId="3" borderId="0" xfId="0" applyNumberFormat="1" applyFill="1" applyProtection="1"/>
    <xf numFmtId="0" fontId="10" fillId="10" borderId="0" xfId="0" applyFont="1" applyFill="1" applyAlignment="1" applyProtection="1">
      <alignment horizontal="center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/>
    <xf numFmtId="20" fontId="0" fillId="21" borderId="0" xfId="0" applyNumberForma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0" fontId="1" fillId="19" borderId="2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20" fontId="0" fillId="3" borderId="26" xfId="0" applyNumberFormat="1" applyFill="1" applyBorder="1" applyAlignment="1" applyProtection="1">
      <alignment horizontal="center"/>
    </xf>
    <xf numFmtId="20" fontId="0" fillId="15" borderId="26" xfId="0" applyNumberFormat="1" applyFill="1" applyBorder="1" applyAlignment="1" applyProtection="1">
      <alignment horizontal="center"/>
    </xf>
    <xf numFmtId="20" fontId="0" fillId="18" borderId="26" xfId="0" applyNumberFormat="1" applyFill="1" applyBorder="1" applyAlignment="1" applyProtection="1">
      <alignment horizontal="center"/>
    </xf>
    <xf numFmtId="0" fontId="1" fillId="4" borderId="27" xfId="0" applyFont="1" applyFill="1" applyBorder="1" applyAlignment="1" applyProtection="1">
      <alignment horizont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20" fontId="1" fillId="14" borderId="26" xfId="0" applyNumberFormat="1" applyFont="1" applyFill="1" applyBorder="1" applyAlignment="1" applyProtection="1">
      <alignment horizontal="center"/>
      <protection locked="0"/>
    </xf>
    <xf numFmtId="20" fontId="1" fillId="15" borderId="26" xfId="0" applyNumberFormat="1" applyFont="1" applyFill="1" applyBorder="1" applyAlignment="1" applyProtection="1">
      <alignment horizontal="center"/>
      <protection locked="0"/>
    </xf>
    <xf numFmtId="0" fontId="1" fillId="3" borderId="27" xfId="0" applyFont="1" applyFill="1" applyBorder="1" applyAlignment="1" applyProtection="1">
      <alignment horizontal="center"/>
      <protection locked="0"/>
    </xf>
    <xf numFmtId="0" fontId="1" fillId="14" borderId="26" xfId="0" applyFont="1" applyFill="1" applyBorder="1" applyAlignment="1" applyProtection="1">
      <alignment horizontal="center"/>
      <protection locked="0"/>
    </xf>
    <xf numFmtId="0" fontId="1" fillId="15" borderId="26" xfId="0" applyFont="1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20" fontId="0" fillId="14" borderId="26" xfId="0" applyNumberFormat="1" applyFill="1" applyBorder="1" applyAlignment="1" applyProtection="1">
      <alignment horizontal="center"/>
      <protection locked="0"/>
    </xf>
    <xf numFmtId="20" fontId="0" fillId="15" borderId="26" xfId="0" applyNumberFormat="1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14" borderId="26" xfId="0" applyFill="1" applyBorder="1" applyAlignment="1" applyProtection="1">
      <alignment horizontal="center"/>
      <protection locked="0"/>
    </xf>
    <xf numFmtId="0" fontId="0" fillId="15" borderId="26" xfId="0" applyFill="1" applyBorder="1" applyAlignment="1" applyProtection="1">
      <alignment horizontal="center"/>
      <protection locked="0"/>
    </xf>
    <xf numFmtId="20" fontId="0" fillId="23" borderId="0" xfId="0" applyNumberFormat="1" applyFill="1" applyAlignment="1" applyProtection="1">
      <alignment horizontal="center"/>
    </xf>
    <xf numFmtId="0" fontId="0" fillId="0" borderId="0" xfId="0" applyFill="1" applyAlignment="1" applyProtection="1"/>
    <xf numFmtId="0" fontId="1" fillId="23" borderId="19" xfId="0" applyFont="1" applyFill="1" applyBorder="1" applyAlignment="1" applyProtection="1">
      <alignment horizontal="center"/>
      <protection locked="0"/>
    </xf>
    <xf numFmtId="20" fontId="0" fillId="23" borderId="27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20" fontId="1" fillId="3" borderId="0" xfId="0" applyNumberFormat="1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1" fillId="4" borderId="26" xfId="0" applyFont="1" applyFill="1" applyBorder="1" applyAlignment="1" applyProtection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/>
    <xf numFmtId="20" fontId="0" fillId="21" borderId="0" xfId="0" applyNumberFormat="1" applyFill="1" applyAlignment="1" applyProtection="1">
      <alignment horizontal="center" vertical="center"/>
      <protection locked="0"/>
    </xf>
    <xf numFmtId="0" fontId="0" fillId="19" borderId="0" xfId="0" applyFill="1" applyAlignment="1" applyProtection="1">
      <alignment horizontal="center"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20" fontId="1" fillId="23" borderId="0" xfId="0" applyNumberFormat="1" applyFont="1" applyFill="1" applyAlignment="1" applyProtection="1">
      <alignment horizontal="center"/>
      <protection locked="0"/>
    </xf>
    <xf numFmtId="20" fontId="9" fillId="3" borderId="0" xfId="0" applyNumberFormat="1" applyFont="1" applyFill="1" applyAlignment="1" applyProtection="1">
      <alignment horizontal="center"/>
    </xf>
    <xf numFmtId="0" fontId="0" fillId="22" borderId="0" xfId="0" applyFill="1"/>
    <xf numFmtId="0" fontId="1" fillId="2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  <protection locked="0"/>
    </xf>
    <xf numFmtId="0" fontId="0" fillId="2" borderId="0" xfId="0" applyNumberFormat="1" applyFill="1" applyBorder="1" applyAlignment="1" applyProtection="1">
      <alignment horizontal="center"/>
      <protection locked="0"/>
    </xf>
    <xf numFmtId="0" fontId="1" fillId="23" borderId="0" xfId="0" applyFont="1" applyFill="1" applyAlignment="1" applyProtection="1">
      <alignment horizontal="center"/>
      <protection locked="0"/>
    </xf>
    <xf numFmtId="20" fontId="0" fillId="5" borderId="0" xfId="0" applyNumberFormat="1" applyFill="1" applyAlignme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7" fillId="2" borderId="0" xfId="0" applyFont="1" applyFill="1" applyAlignment="1" applyProtection="1"/>
    <xf numFmtId="0" fontId="6" fillId="2" borderId="0" xfId="0" applyFont="1" applyFill="1" applyAlignment="1" applyProtection="1"/>
    <xf numFmtId="0" fontId="1" fillId="4" borderId="0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0" fontId="0" fillId="3" borderId="0" xfId="0" applyNumberFormat="1" applyFill="1" applyBorder="1" applyAlignment="1" applyProtection="1">
      <alignment horizontal="center"/>
    </xf>
    <xf numFmtId="20" fontId="0" fillId="23" borderId="0" xfId="0" applyNumberFormat="1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20" fontId="0" fillId="15" borderId="0" xfId="0" applyNumberFormat="1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20" fontId="0" fillId="18" borderId="0" xfId="0" applyNumberFormat="1" applyFill="1" applyBorder="1" applyAlignment="1" applyProtection="1">
      <alignment horizontal="center"/>
    </xf>
    <xf numFmtId="0" fontId="0" fillId="2" borderId="0" xfId="0" applyFill="1" applyBorder="1"/>
    <xf numFmtId="0" fontId="0" fillId="23" borderId="0" xfId="0" applyFill="1" applyBorder="1"/>
    <xf numFmtId="0" fontId="1" fillId="2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" fillId="25" borderId="0" xfId="0" applyFont="1" applyFill="1" applyAlignment="1">
      <alignment horizontal="center"/>
    </xf>
    <xf numFmtId="0" fontId="0" fillId="25" borderId="0" xfId="0" applyFill="1" applyAlignment="1"/>
    <xf numFmtId="0" fontId="15" fillId="4" borderId="0" xfId="0" applyFont="1" applyFill="1" applyAlignment="1" applyProtection="1">
      <alignment horizontal="center"/>
    </xf>
    <xf numFmtId="0" fontId="0" fillId="4" borderId="0" xfId="0" applyFill="1" applyAlignment="1" applyProtection="1"/>
    <xf numFmtId="0" fontId="0" fillId="3" borderId="0" xfId="0" applyFill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9" fillId="3" borderId="0" xfId="0" applyFont="1" applyFill="1" applyAlignment="1" applyProtection="1">
      <alignment horizontal="center"/>
    </xf>
    <xf numFmtId="0" fontId="1" fillId="3" borderId="0" xfId="0" applyFont="1" applyFill="1" applyAlignment="1" applyProtection="1"/>
    <xf numFmtId="0" fontId="0" fillId="3" borderId="0" xfId="0" applyFill="1" applyAlignment="1" applyProtection="1"/>
    <xf numFmtId="0" fontId="1" fillId="24" borderId="0" xfId="0" applyFont="1" applyFill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9" fillId="24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/>
    </xf>
    <xf numFmtId="0" fontId="1" fillId="25" borderId="0" xfId="0" applyFont="1" applyFill="1" applyAlignment="1" applyProtection="1">
      <alignment horizontal="center"/>
    </xf>
    <xf numFmtId="0" fontId="0" fillId="25" borderId="0" xfId="0" applyFill="1" applyAlignment="1" applyProtection="1"/>
    <xf numFmtId="0" fontId="0" fillId="5" borderId="0" xfId="0" applyFill="1" applyAlignment="1" applyProtection="1">
      <alignment horizontal="center"/>
    </xf>
    <xf numFmtId="0" fontId="0" fillId="9" borderId="0" xfId="0" applyFill="1" applyAlignment="1" applyProtection="1">
      <alignment horizont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 applyProtection="1">
      <alignment horizontal="center" vertical="center"/>
    </xf>
    <xf numFmtId="0" fontId="1" fillId="18" borderId="28" xfId="0" applyFont="1" applyFill="1" applyBorder="1" applyAlignment="1" applyProtection="1">
      <alignment horizontal="center"/>
    </xf>
    <xf numFmtId="0" fontId="1" fillId="26" borderId="29" xfId="0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7" borderId="0" xfId="0" applyFill="1"/>
    <xf numFmtId="0" fontId="1" fillId="2" borderId="0" xfId="0" applyFont="1" applyFill="1" applyAlignment="1" applyProtection="1">
      <alignment horizontal="center"/>
    </xf>
    <xf numFmtId="0" fontId="0" fillId="2" borderId="0" xfId="0" applyFill="1" applyAlignment="1" applyProtection="1">
      <protection locked="0"/>
    </xf>
    <xf numFmtId="0" fontId="0" fillId="2" borderId="0" xfId="0" applyFill="1" applyAlignment="1">
      <alignment horizontal="center" vertical="center"/>
    </xf>
    <xf numFmtId="0" fontId="0" fillId="2" borderId="0" xfId="0" applyFill="1" applyAlignment="1"/>
    <xf numFmtId="0" fontId="1" fillId="2" borderId="0" xfId="0" applyFont="1" applyFill="1" applyAlignment="1" applyProtection="1"/>
    <xf numFmtId="0" fontId="6" fillId="2" borderId="0" xfId="0" applyFont="1" applyFill="1" applyAlignment="1" applyProtection="1">
      <alignment horizontal="center"/>
    </xf>
    <xf numFmtId="0" fontId="9" fillId="2" borderId="0" xfId="0" applyFont="1" applyFill="1" applyAlignment="1" applyProtection="1">
      <protection locked="0"/>
    </xf>
    <xf numFmtId="0" fontId="2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protection locked="0"/>
    </xf>
    <xf numFmtId="0" fontId="9" fillId="2" borderId="0" xfId="0" applyFont="1" applyFill="1" applyAlignment="1"/>
    <xf numFmtId="0" fontId="0" fillId="2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26" borderId="32" xfId="0" applyFont="1" applyFill="1" applyBorder="1" applyAlignment="1" applyProtection="1">
      <alignment horizontal="center"/>
    </xf>
    <xf numFmtId="0" fontId="0" fillId="3" borderId="26" xfId="0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" fillId="3" borderId="0" xfId="0" applyFont="1" applyFill="1" applyAlignment="1" applyProtection="1">
      <protection locked="0"/>
    </xf>
    <xf numFmtId="0" fontId="0" fillId="3" borderId="0" xfId="0" applyFill="1" applyAlignment="1" applyProtection="1">
      <protection locked="0"/>
    </xf>
    <xf numFmtId="0" fontId="5" fillId="29" borderId="0" xfId="0" applyFont="1" applyFill="1" applyAlignment="1">
      <alignment horizontal="center" vertical="center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25" fillId="3" borderId="0" xfId="0" applyFont="1" applyFill="1"/>
    <xf numFmtId="0" fontId="0" fillId="33" borderId="0" xfId="0" applyFill="1"/>
    <xf numFmtId="0" fontId="9" fillId="3" borderId="0" xfId="0" applyFont="1" applyFill="1" applyAlignment="1" applyProtection="1">
      <alignment horizontal="center" vertical="center"/>
      <protection locked="0"/>
    </xf>
    <xf numFmtId="0" fontId="9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3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center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1" fillId="23" borderId="0" xfId="0" applyFont="1" applyFill="1" applyAlignment="1" applyProtection="1">
      <alignment horizontal="center"/>
      <protection locked="0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9" fillId="20" borderId="0" xfId="0" applyFont="1" applyFill="1" applyAlignment="1" applyProtection="1">
      <alignment horizontal="center" vertical="center"/>
      <protection locked="0"/>
    </xf>
    <xf numFmtId="0" fontId="8" fillId="20" borderId="0" xfId="0" applyFont="1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1" fillId="4" borderId="0" xfId="0" applyFont="1" applyFill="1" applyBorder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  <protection locked="0"/>
    </xf>
    <xf numFmtId="0" fontId="1" fillId="5" borderId="0" xfId="0" applyFont="1" applyFill="1" applyBorder="1" applyAlignment="1" applyProtection="1">
      <alignment horizontal="center"/>
      <protection locked="0"/>
    </xf>
    <xf numFmtId="0" fontId="1" fillId="5" borderId="5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protection locked="0"/>
    </xf>
    <xf numFmtId="0" fontId="0" fillId="2" borderId="2" xfId="0" applyFill="1" applyBorder="1" applyAlignment="1" applyProtection="1">
      <protection locked="0"/>
    </xf>
    <xf numFmtId="0" fontId="0" fillId="2" borderId="3" xfId="0" applyFill="1" applyBorder="1" applyAlignment="1" applyProtection="1">
      <protection locked="0"/>
    </xf>
    <xf numFmtId="0" fontId="0" fillId="2" borderId="4" xfId="0" applyFill="1" applyBorder="1" applyAlignment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5" xfId="0" applyFill="1" applyBorder="1" applyAlignment="1" applyProtection="1">
      <protection locked="0"/>
    </xf>
    <xf numFmtId="0" fontId="9" fillId="4" borderId="0" xfId="0" applyFont="1" applyFill="1" applyAlignment="1" applyProtection="1">
      <alignment horizontal="center"/>
    </xf>
    <xf numFmtId="0" fontId="15" fillId="4" borderId="0" xfId="0" applyFont="1" applyFill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4" xfId="0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1" fillId="8" borderId="9" xfId="0" applyFont="1" applyFill="1" applyBorder="1" applyAlignment="1" applyProtection="1">
      <alignment horizontal="center"/>
    </xf>
    <xf numFmtId="0" fontId="1" fillId="8" borderId="10" xfId="0" applyFont="1" applyFill="1" applyBorder="1" applyAlignment="1" applyProtection="1">
      <alignment horizontal="center"/>
    </xf>
    <xf numFmtId="0" fontId="0" fillId="8" borderId="11" xfId="0" applyFill="1" applyBorder="1" applyAlignment="1" applyProtection="1"/>
    <xf numFmtId="0" fontId="0" fillId="2" borderId="0" xfId="0" applyFill="1" applyAlignment="1" applyProtection="1">
      <protection locked="0"/>
    </xf>
    <xf numFmtId="0" fontId="0" fillId="0" borderId="0" xfId="0" applyBorder="1" applyAlignment="1" applyProtection="1">
      <alignment horizontal="center"/>
    </xf>
    <xf numFmtId="0" fontId="1" fillId="5" borderId="12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1" fillId="5" borderId="14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6" fillId="16" borderId="0" xfId="0" applyFont="1" applyFill="1" applyAlignment="1" applyProtection="1">
      <alignment horizontal="center" vertical="center"/>
    </xf>
    <xf numFmtId="0" fontId="1" fillId="5" borderId="30" xfId="0" applyFont="1" applyFill="1" applyBorder="1" applyAlignment="1" applyProtection="1">
      <alignment horizontal="center"/>
    </xf>
    <xf numFmtId="0" fontId="1" fillId="5" borderId="31" xfId="0" applyFont="1" applyFill="1" applyBorder="1" applyAlignment="1" applyProtection="1">
      <alignment horizontal="center"/>
    </xf>
    <xf numFmtId="0" fontId="10" fillId="10" borderId="0" xfId="0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13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/>
    <xf numFmtId="0" fontId="2" fillId="0" borderId="0" xfId="0" applyFont="1" applyAlignment="1" applyProtection="1">
      <alignment horizontal="center"/>
      <protection locked="0"/>
    </xf>
    <xf numFmtId="0" fontId="12" fillId="8" borderId="0" xfId="0" applyFont="1" applyFill="1" applyAlignment="1" applyProtection="1">
      <alignment horizontal="center"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10" fillId="10" borderId="0" xfId="0" applyFont="1" applyFill="1" applyAlignment="1" applyProtection="1">
      <alignment horizontal="right"/>
      <protection locked="0"/>
    </xf>
    <xf numFmtId="0" fontId="2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0" fillId="0" borderId="0" xfId="0" applyFont="1" applyAlignment="1" applyProtection="1">
      <alignment horizontal="right"/>
      <protection locked="0"/>
    </xf>
    <xf numFmtId="0" fontId="3" fillId="5" borderId="0" xfId="0" applyFont="1" applyFill="1" applyAlignment="1">
      <alignment horizontal="center" vertical="center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3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" fillId="2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3" borderId="25" xfId="0" applyFont="1" applyFill="1" applyBorder="1" applyAlignment="1" applyProtection="1">
      <alignment horizontal="center"/>
      <protection locked="0"/>
    </xf>
    <xf numFmtId="0" fontId="1" fillId="3" borderId="26" xfId="0" applyFont="1" applyFill="1" applyBorder="1" applyAlignment="1" applyProtection="1">
      <alignment horizontal="center"/>
      <protection locked="0"/>
    </xf>
    <xf numFmtId="0" fontId="14" fillId="5" borderId="0" xfId="0" applyFont="1" applyFill="1" applyAlignment="1">
      <alignment horizontal="center"/>
    </xf>
    <xf numFmtId="0" fontId="22" fillId="9" borderId="0" xfId="0" applyFont="1" applyFill="1" applyAlignment="1">
      <alignment horizontal="center" vertical="center"/>
    </xf>
    <xf numFmtId="0" fontId="1" fillId="8" borderId="0" xfId="0" applyFont="1" applyFill="1" applyAlignment="1" applyProtection="1">
      <alignment horizontal="center" vertical="center"/>
      <protection locked="0"/>
    </xf>
    <xf numFmtId="0" fontId="1" fillId="15" borderId="24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 applyProtection="1">
      <alignment horizontal="center"/>
    </xf>
    <xf numFmtId="0" fontId="21" fillId="2" borderId="0" xfId="0" applyFont="1" applyFill="1" applyAlignment="1" applyProtection="1">
      <alignment horizontal="center"/>
    </xf>
    <xf numFmtId="0" fontId="1" fillId="16" borderId="0" xfId="0" applyFont="1" applyFill="1" applyAlignment="1" applyProtection="1">
      <alignment horizontal="center"/>
    </xf>
    <xf numFmtId="0" fontId="1" fillId="8" borderId="0" xfId="0" applyFont="1" applyFill="1" applyAlignment="1" applyProtection="1">
      <alignment horizontal="center"/>
    </xf>
    <xf numFmtId="0" fontId="1" fillId="17" borderId="0" xfId="0" applyFont="1" applyFill="1" applyAlignment="1" applyProtection="1">
      <alignment horizontal="center"/>
    </xf>
    <xf numFmtId="0" fontId="24" fillId="12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21" fillId="25" borderId="0" xfId="0" applyFont="1" applyFill="1" applyAlignment="1">
      <alignment horizontal="center"/>
    </xf>
    <xf numFmtId="0" fontId="23" fillId="3" borderId="0" xfId="0" applyFont="1" applyFill="1" applyAlignment="1" applyProtection="1">
      <alignment horizontal="center"/>
      <protection locked="0"/>
    </xf>
    <xf numFmtId="0" fontId="21" fillId="22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20" xfId="0" applyFont="1" applyBorder="1" applyAlignment="1">
      <alignment horizontal="center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1" fillId="17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</cellXfs>
  <cellStyles count="2">
    <cellStyle name="Normal" xfId="0" builtinId="0"/>
    <cellStyle name="Normal 2" xfId="1"/>
  </cellStyles>
  <dxfs count="30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C2D28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  <dxf>
      <numFmt numFmtId="164" formatCode=";;;"/>
    </dxf>
    <dxf>
      <numFmt numFmtId="164" formatCode=";;;"/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</dxfs>
  <tableStyles count="0" defaultTableStyle="TableStyleMedium2" defaultPivotStyle="PivotStyleLight16"/>
  <colors>
    <mruColors>
      <color rgb="FFF0D328"/>
      <color rgb="FFFB130D"/>
      <color rgb="FFFC2D28"/>
      <color rgb="FFFD7673"/>
      <color rgb="FFFAAC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171451</xdr:rowOff>
    </xdr:from>
    <xdr:to>
      <xdr:col>5</xdr:col>
      <xdr:colOff>225136</xdr:colOff>
      <xdr:row>5</xdr:row>
      <xdr:rowOff>171451</xdr:rowOff>
    </xdr:to>
    <xdr:pic>
      <xdr:nvPicPr>
        <xdr:cNvPr id="1025" name="Picture 1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71451"/>
          <a:ext cx="2749261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161926</xdr:colOff>
      <xdr:row>1</xdr:row>
      <xdr:rowOff>28575</xdr:rowOff>
    </xdr:from>
    <xdr:to>
      <xdr:col>18</xdr:col>
      <xdr:colOff>428626</xdr:colOff>
      <xdr:row>4</xdr:row>
      <xdr:rowOff>126429</xdr:rowOff>
    </xdr:to>
    <xdr:pic>
      <xdr:nvPicPr>
        <xdr:cNvPr id="1027" name="Picture 3" descr="H:\VDIProfile\Desktop\PERSONAL\fire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2789" r="100000">
                      <a14:backgroundMark x1="95618" y1="69154" x2="90040" y2="84080"/>
                      <a14:backgroundMark x1="91235" y1="80100" x2="91235" y2="80100"/>
                      <a14:backgroundMark x1="62151" y1="95025" x2="62151" y2="950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01226" y="228600"/>
          <a:ext cx="876300" cy="7017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72391</xdr:colOff>
      <xdr:row>0</xdr:row>
      <xdr:rowOff>66675</xdr:rowOff>
    </xdr:from>
    <xdr:to>
      <xdr:col>12</xdr:col>
      <xdr:colOff>491491</xdr:colOff>
      <xdr:row>4</xdr:row>
      <xdr:rowOff>73950</xdr:rowOff>
    </xdr:to>
    <xdr:pic>
      <xdr:nvPicPr>
        <xdr:cNvPr id="2054" name="Picture 6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6831" y="66675"/>
          <a:ext cx="2247900" cy="7768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1</xdr:row>
      <xdr:rowOff>9525</xdr:rowOff>
    </xdr:from>
    <xdr:to>
      <xdr:col>5</xdr:col>
      <xdr:colOff>247650</xdr:colOff>
      <xdr:row>6</xdr:row>
      <xdr:rowOff>70125</xdr:rowOff>
    </xdr:to>
    <xdr:pic>
      <xdr:nvPicPr>
        <xdr:cNvPr id="4097" name="Picture 1" descr="H:\VDIProfile\Desktop\PERSONAL\PICS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1" y="200025"/>
          <a:ext cx="2924174" cy="1013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0</xdr:row>
      <xdr:rowOff>161925</xdr:rowOff>
    </xdr:from>
    <xdr:to>
      <xdr:col>2</xdr:col>
      <xdr:colOff>676275</xdr:colOff>
      <xdr:row>7</xdr:row>
      <xdr:rowOff>46125</xdr:rowOff>
    </xdr:to>
    <xdr:pic>
      <xdr:nvPicPr>
        <xdr:cNvPr id="12289" name="Picture 1" descr="H:\VDIProfile\Desktop\PERSONAL\PICS\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161925"/>
          <a:ext cx="3514725" cy="121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29</xdr:row>
          <xdr:rowOff>60960</xdr:rowOff>
        </xdr:from>
        <xdr:to>
          <xdr:col>2</xdr:col>
          <xdr:colOff>982980</xdr:colOff>
          <xdr:row>32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BJ143"/>
  <sheetViews>
    <sheetView showZeros="0" tabSelected="1" zoomScale="90" zoomScaleNormal="90" workbookViewId="0">
      <selection activeCell="H3" sqref="H3"/>
    </sheetView>
  </sheetViews>
  <sheetFormatPr defaultRowHeight="14.4" x14ac:dyDescent="0.3"/>
  <cols>
    <col min="1" max="1" width="5.5546875" customWidth="1"/>
    <col min="5" max="5" width="8.6640625" customWidth="1"/>
    <col min="8" max="8" width="11.5546875" customWidth="1"/>
    <col min="9" max="9" width="9.109375" customWidth="1"/>
    <col min="12" max="12" width="3.88671875" style="4" customWidth="1"/>
    <col min="26" max="26" width="9.109375" style="4" customWidth="1"/>
    <col min="27" max="31" width="9.109375" style="4" hidden="1" customWidth="1"/>
    <col min="32" max="32" width="8.88671875" hidden="1" customWidth="1"/>
    <col min="33" max="33" width="9.109375" hidden="1" customWidth="1"/>
    <col min="34" max="34" width="13.44140625" hidden="1" customWidth="1"/>
    <col min="35" max="38" width="9.109375" hidden="1" customWidth="1"/>
    <col min="39" max="42" width="8.88671875" hidden="1" customWidth="1"/>
    <col min="43" max="48" width="8.88671875" customWidth="1"/>
    <col min="50" max="62" width="8.88671875" style="4"/>
  </cols>
  <sheetData>
    <row r="1" spans="1:49" ht="15" thickBot="1" x14ac:dyDescent="0.35">
      <c r="A1" s="305"/>
      <c r="B1" s="305"/>
      <c r="C1" s="305"/>
      <c r="D1" s="305"/>
      <c r="E1" s="305"/>
      <c r="F1" s="95"/>
      <c r="G1" s="108"/>
      <c r="H1" s="108"/>
      <c r="I1" s="108"/>
      <c r="J1" s="108"/>
      <c r="K1" s="112"/>
      <c r="L1" s="1"/>
      <c r="M1" s="112"/>
      <c r="N1" s="112"/>
      <c r="O1" s="112"/>
      <c r="P1" s="112"/>
      <c r="Q1" s="112"/>
      <c r="R1" s="113"/>
      <c r="S1" s="112"/>
      <c r="T1" s="112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4"/>
      <c r="AV1" s="4"/>
      <c r="AW1" s="4"/>
    </row>
    <row r="2" spans="1:49" ht="15.6" thickTop="1" thickBot="1" x14ac:dyDescent="0.35">
      <c r="A2" s="305"/>
      <c r="B2" s="305"/>
      <c r="C2" s="305"/>
      <c r="D2" s="305"/>
      <c r="E2" s="305"/>
      <c r="F2" s="95"/>
      <c r="G2" s="108"/>
      <c r="H2" s="108"/>
      <c r="I2" s="108"/>
      <c r="J2" s="108"/>
      <c r="K2" s="112"/>
      <c r="L2" s="1"/>
      <c r="M2" s="112"/>
      <c r="N2" s="112"/>
      <c r="O2" s="112"/>
      <c r="P2" s="112"/>
      <c r="Q2" s="288"/>
      <c r="R2" s="289"/>
      <c r="S2" s="289"/>
      <c r="T2" s="290"/>
      <c r="U2" s="112"/>
      <c r="V2" s="282" t="s">
        <v>20</v>
      </c>
      <c r="W2" s="306"/>
      <c r="X2" s="195" t="s">
        <v>21</v>
      </c>
      <c r="Y2" s="195" t="s">
        <v>22</v>
      </c>
      <c r="Z2" s="195" t="s">
        <v>23</v>
      </c>
      <c r="AA2" s="173" t="s">
        <v>22</v>
      </c>
      <c r="AB2" s="150" t="s">
        <v>23</v>
      </c>
      <c r="AC2" s="114"/>
      <c r="AD2" s="114"/>
      <c r="AE2" s="114"/>
      <c r="AF2" s="114"/>
      <c r="AG2" s="112"/>
      <c r="AH2" s="112"/>
      <c r="AI2" s="112"/>
      <c r="AJ2" s="112"/>
      <c r="AK2" s="112"/>
      <c r="AL2" s="112"/>
      <c r="AM2" s="112"/>
      <c r="AN2" s="112"/>
      <c r="AO2" s="108"/>
      <c r="AP2" s="108"/>
      <c r="AQ2" s="108"/>
      <c r="AR2" s="237"/>
      <c r="AS2" s="112"/>
      <c r="AT2" s="112"/>
      <c r="AU2" s="4"/>
      <c r="AV2" s="4"/>
      <c r="AW2" s="4"/>
    </row>
    <row r="3" spans="1:49" ht="15" thickBot="1" x14ac:dyDescent="0.35">
      <c r="A3" s="305"/>
      <c r="B3" s="305"/>
      <c r="C3" s="305"/>
      <c r="D3" s="305"/>
      <c r="E3" s="305"/>
      <c r="F3" s="95"/>
      <c r="G3" s="109" t="s">
        <v>219</v>
      </c>
      <c r="H3" s="134">
        <f ca="1">NOW()</f>
        <v>42990.67811400463</v>
      </c>
      <c r="I3" s="108"/>
      <c r="J3" s="109" t="s">
        <v>247</v>
      </c>
      <c r="K3" s="164"/>
      <c r="L3" s="1"/>
      <c r="M3" s="112"/>
      <c r="N3" s="165"/>
      <c r="O3" s="112"/>
      <c r="P3" s="112"/>
      <c r="Q3" s="291"/>
      <c r="R3" s="292"/>
      <c r="S3" s="292"/>
      <c r="T3" s="293"/>
      <c r="U3" s="112"/>
      <c r="V3" s="270">
        <f>('OTB Appliances'!C7)</f>
        <v>0</v>
      </c>
      <c r="W3" s="306"/>
      <c r="X3" s="196">
        <f>COUNTA('OTB Appliances'!C9:C14)</f>
        <v>0</v>
      </c>
      <c r="Y3" s="197">
        <f>('OTB Appliances'!F8)</f>
        <v>0</v>
      </c>
      <c r="Z3" s="198"/>
      <c r="AA3" s="147" t="e">
        <f>('OTB Appliances'!#REF!)</f>
        <v>#REF!</v>
      </c>
      <c r="AB3" s="167"/>
      <c r="AC3" s="79"/>
      <c r="AD3" s="79"/>
      <c r="AE3" s="79"/>
      <c r="AF3" s="79"/>
      <c r="AG3" s="175"/>
      <c r="AH3" s="175"/>
      <c r="AI3" s="175"/>
      <c r="AJ3" s="175"/>
      <c r="AK3" s="175"/>
      <c r="AL3" s="175"/>
      <c r="AM3" s="175"/>
      <c r="AN3" s="182"/>
      <c r="AO3" s="114"/>
      <c r="AP3" s="183"/>
      <c r="AQ3" s="183"/>
      <c r="AR3" s="233"/>
      <c r="AS3" s="112"/>
      <c r="AT3" s="112"/>
      <c r="AU3" s="4"/>
      <c r="AV3" s="4"/>
      <c r="AW3" s="4"/>
    </row>
    <row r="4" spans="1:49" ht="15" thickBot="1" x14ac:dyDescent="0.35">
      <c r="A4" s="305"/>
      <c r="B4" s="305"/>
      <c r="C4" s="305"/>
      <c r="D4" s="305"/>
      <c r="E4" s="305"/>
      <c r="F4" s="95"/>
      <c r="G4" s="108"/>
      <c r="H4" s="108"/>
      <c r="I4" s="108"/>
      <c r="J4" s="108"/>
      <c r="K4" s="112"/>
      <c r="L4" s="99"/>
      <c r="M4" s="112"/>
      <c r="N4" s="112"/>
      <c r="O4" s="112"/>
      <c r="P4" s="112"/>
      <c r="Q4" s="291"/>
      <c r="R4" s="292"/>
      <c r="S4" s="292"/>
      <c r="T4" s="293"/>
      <c r="U4" s="112"/>
      <c r="V4" s="270">
        <f>('OTB Appliances'!C17)</f>
        <v>0</v>
      </c>
      <c r="W4" s="306"/>
      <c r="X4" s="196">
        <f>COUNTA('OTB Appliances'!C19:C24)</f>
        <v>0</v>
      </c>
      <c r="Y4" s="197">
        <f>('OTB Appliances'!F18)</f>
        <v>0</v>
      </c>
      <c r="Z4" s="198"/>
      <c r="AA4" s="147" t="e">
        <f>('OTB Appliances'!#REF!)</f>
        <v>#REF!</v>
      </c>
      <c r="AB4" s="167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114"/>
      <c r="AO4" s="114"/>
      <c r="AP4" s="172"/>
      <c r="AQ4" s="184"/>
      <c r="AR4" s="233"/>
      <c r="AS4" s="112"/>
      <c r="AT4" s="112"/>
      <c r="AU4" s="4"/>
      <c r="AV4" s="4"/>
      <c r="AW4" s="4"/>
    </row>
    <row r="5" spans="1:49" ht="15" thickBot="1" x14ac:dyDescent="0.35">
      <c r="A5" s="305"/>
      <c r="B5" s="305"/>
      <c r="C5" s="305"/>
      <c r="D5" s="305"/>
      <c r="E5" s="305"/>
      <c r="F5" s="95"/>
      <c r="G5" s="294" t="s">
        <v>26</v>
      </c>
      <c r="H5" s="294"/>
      <c r="I5" s="294"/>
      <c r="J5" s="294"/>
      <c r="K5" s="294"/>
      <c r="L5" s="1"/>
      <c r="M5" s="280" t="s">
        <v>31</v>
      </c>
      <c r="N5" s="280"/>
      <c r="O5" s="126">
        <f>SUM(D24:D38,D42:D69,X3:X17,E14,T14)</f>
        <v>0</v>
      </c>
      <c r="P5" s="108"/>
      <c r="Q5" s="291"/>
      <c r="R5" s="292"/>
      <c r="S5" s="292"/>
      <c r="T5" s="293"/>
      <c r="U5" s="112"/>
      <c r="V5" s="270">
        <f>('OTB Appliances'!C27)</f>
        <v>0</v>
      </c>
      <c r="W5" s="306"/>
      <c r="X5" s="196">
        <f>COUNTA('OTB Appliances'!C29:C34)</f>
        <v>0</v>
      </c>
      <c r="Y5" s="197">
        <f>('OTB Appliances'!F28)</f>
        <v>0</v>
      </c>
      <c r="Z5" s="198"/>
      <c r="AA5" s="147" t="e">
        <f>('OTB Appliances'!#REF!)</f>
        <v>#REF!</v>
      </c>
      <c r="AB5" s="167"/>
      <c r="AC5" s="79"/>
      <c r="AD5" s="79"/>
      <c r="AE5" s="79"/>
      <c r="AF5" s="79"/>
      <c r="AG5" s="175"/>
      <c r="AH5" s="175"/>
      <c r="AI5" s="175"/>
      <c r="AJ5" s="175"/>
      <c r="AK5" s="175"/>
      <c r="AL5" s="175"/>
      <c r="AM5" s="175"/>
      <c r="AN5" s="114"/>
      <c r="AO5" s="114"/>
      <c r="AP5" s="172"/>
      <c r="AQ5" s="184"/>
      <c r="AR5" s="233"/>
      <c r="AS5" s="112"/>
      <c r="AT5" s="112"/>
      <c r="AU5" s="4"/>
      <c r="AV5" s="4"/>
      <c r="AW5" s="4"/>
    </row>
    <row r="6" spans="1:49" ht="15" thickBot="1" x14ac:dyDescent="0.35">
      <c r="A6" s="305"/>
      <c r="B6" s="305"/>
      <c r="C6" s="305"/>
      <c r="D6" s="305"/>
      <c r="E6" s="305"/>
      <c r="F6" s="95"/>
      <c r="G6" s="209" t="s">
        <v>24</v>
      </c>
      <c r="H6" s="295" t="s">
        <v>442</v>
      </c>
      <c r="I6" s="295"/>
      <c r="J6" s="295"/>
      <c r="K6" s="210"/>
      <c r="L6" s="1"/>
      <c r="M6" s="112"/>
      <c r="N6" s="112"/>
      <c r="O6" s="112"/>
      <c r="P6" s="108"/>
      <c r="Q6" s="285" t="s">
        <v>34</v>
      </c>
      <c r="R6" s="286"/>
      <c r="S6" s="286"/>
      <c r="T6" s="287"/>
      <c r="U6" s="112"/>
      <c r="V6" s="270">
        <f>('OTB Appliances'!C37)</f>
        <v>0</v>
      </c>
      <c r="W6" s="306"/>
      <c r="X6" s="196">
        <f>COUNTA('OTB Appliances'!C39:C44)</f>
        <v>0</v>
      </c>
      <c r="Y6" s="197">
        <f>('OTB Appliances'!F38)</f>
        <v>0</v>
      </c>
      <c r="Z6" s="198"/>
      <c r="AA6" s="147" t="e">
        <f>('OTB Appliances'!#REF!)</f>
        <v>#REF!</v>
      </c>
      <c r="AB6" s="167"/>
      <c r="AC6" s="174"/>
      <c r="AD6" s="174"/>
      <c r="AE6" s="174"/>
      <c r="AF6" s="174"/>
      <c r="AG6" s="175"/>
      <c r="AH6" s="175"/>
      <c r="AI6" s="175"/>
      <c r="AJ6" s="175"/>
      <c r="AK6" s="175"/>
      <c r="AL6" s="175"/>
      <c r="AM6" s="175"/>
      <c r="AN6" s="114"/>
      <c r="AO6" s="114"/>
      <c r="AP6" s="172"/>
      <c r="AQ6" s="184"/>
      <c r="AR6" s="233"/>
      <c r="AS6" s="112"/>
      <c r="AT6" s="112"/>
      <c r="AU6" s="4"/>
      <c r="AV6" s="4"/>
      <c r="AW6" s="4"/>
    </row>
    <row r="7" spans="1:49" ht="15" thickBot="1" x14ac:dyDescent="0.35">
      <c r="A7" s="95"/>
      <c r="B7" s="95"/>
      <c r="C7" s="95"/>
      <c r="D7" s="95"/>
      <c r="E7" s="95"/>
      <c r="F7" s="95"/>
      <c r="G7" s="209" t="s">
        <v>25</v>
      </c>
      <c r="H7" s="206" t="str">
        <f>H23</f>
        <v>Sector 1</v>
      </c>
      <c r="I7" s="206" t="str">
        <f>M23</f>
        <v>Sector 2</v>
      </c>
      <c r="J7" s="206" t="str">
        <f>R23</f>
        <v>Sector 3</v>
      </c>
      <c r="K7" s="206" t="str">
        <f>W23</f>
        <v>Sector 4</v>
      </c>
      <c r="M7" s="280" t="s">
        <v>32</v>
      </c>
      <c r="N7" s="280"/>
      <c r="O7" s="126">
        <f>SUM(E9:E11,T9:T11)</f>
        <v>0</v>
      </c>
      <c r="P7" s="108"/>
      <c r="Q7" s="100"/>
      <c r="R7" s="98"/>
      <c r="S7" s="98"/>
      <c r="T7" s="101"/>
      <c r="U7" s="112"/>
      <c r="V7" s="270">
        <f>('OTB Appliances'!C47)</f>
        <v>0</v>
      </c>
      <c r="W7" s="306"/>
      <c r="X7" s="196">
        <f>COUNTA('OTB Appliances'!C49:C54)</f>
        <v>0</v>
      </c>
      <c r="Y7" s="197">
        <f>('OTB Appliances'!F48)</f>
        <v>0</v>
      </c>
      <c r="Z7" s="198"/>
      <c r="AA7" s="147" t="e">
        <f>('OTB Appliances'!#REF!)</f>
        <v>#REF!</v>
      </c>
      <c r="AB7" s="167"/>
      <c r="AC7" s="174"/>
      <c r="AD7" s="174"/>
      <c r="AE7" s="174"/>
      <c r="AF7" s="174"/>
      <c r="AG7" s="175"/>
      <c r="AH7" s="175" t="s">
        <v>205</v>
      </c>
      <c r="AI7" s="175"/>
      <c r="AJ7" s="175" t="s">
        <v>206</v>
      </c>
      <c r="AK7" s="175"/>
      <c r="AL7" s="175"/>
      <c r="AM7" s="175"/>
      <c r="AN7" s="114"/>
      <c r="AO7" s="114"/>
      <c r="AP7" s="172"/>
      <c r="AQ7" s="184"/>
      <c r="AR7" s="185"/>
      <c r="AS7" s="108"/>
      <c r="AT7" s="108"/>
      <c r="AU7" s="4"/>
      <c r="AV7" s="4"/>
      <c r="AW7" s="4"/>
    </row>
    <row r="8" spans="1:49" ht="15" thickBot="1" x14ac:dyDescent="0.35">
      <c r="A8" s="108"/>
      <c r="B8" s="280" t="s">
        <v>1</v>
      </c>
      <c r="C8" s="280"/>
      <c r="D8" s="280"/>
      <c r="E8" s="106" t="s">
        <v>0</v>
      </c>
      <c r="F8" s="108"/>
      <c r="G8" s="205" t="s">
        <v>12</v>
      </c>
      <c r="H8" s="215">
        <f>'Sector Skills'!D48</f>
        <v>0</v>
      </c>
      <c r="I8" s="215"/>
      <c r="J8" s="215"/>
      <c r="K8" s="215"/>
      <c r="M8" s="314" t="s">
        <v>1178</v>
      </c>
      <c r="N8" s="315"/>
      <c r="O8" s="248">
        <f>K23+P23+U23+Z23</f>
        <v>0</v>
      </c>
      <c r="P8" s="108"/>
      <c r="Q8" s="296" t="s">
        <v>1</v>
      </c>
      <c r="R8" s="297"/>
      <c r="S8" s="297"/>
      <c r="T8" s="102" t="s">
        <v>0</v>
      </c>
      <c r="U8" s="112"/>
      <c r="V8" s="270">
        <f>('OTB Appliances'!J7)</f>
        <v>0</v>
      </c>
      <c r="W8" s="306"/>
      <c r="X8" s="196">
        <f>COUNTA('OTB Appliances'!J9:J14)</f>
        <v>0</v>
      </c>
      <c r="Y8" s="197">
        <f>('OTB Appliances'!M8)</f>
        <v>0</v>
      </c>
      <c r="Z8" s="198"/>
      <c r="AA8" s="147" t="e">
        <f>('OTB Appliances'!#REF!)</f>
        <v>#REF!</v>
      </c>
      <c r="AB8" s="167"/>
      <c r="AC8" s="174"/>
      <c r="AD8" s="174"/>
      <c r="AE8" s="174"/>
      <c r="AF8" s="174"/>
      <c r="AG8" s="175"/>
      <c r="AH8" s="188">
        <f>SUM(D24:D38,D42:D69,Z3:Z17,E14)</f>
        <v>0</v>
      </c>
      <c r="AI8" s="175"/>
      <c r="AJ8" s="83">
        <f>COUNTA(F24:F38,F42:F69,Z3:Z17)</f>
        <v>0</v>
      </c>
      <c r="AK8" s="175"/>
      <c r="AL8" s="175"/>
      <c r="AM8" s="175"/>
      <c r="AN8" s="114"/>
      <c r="AO8" s="114"/>
      <c r="AP8" s="172"/>
      <c r="AQ8" s="184"/>
      <c r="AR8" s="185"/>
      <c r="AS8" s="108"/>
      <c r="AT8" s="108"/>
      <c r="AU8" s="4"/>
      <c r="AV8" s="4"/>
      <c r="AW8" s="4"/>
    </row>
    <row r="9" spans="1:49" ht="15" thickBot="1" x14ac:dyDescent="0.35">
      <c r="A9" s="108"/>
      <c r="B9" s="281" t="s">
        <v>2</v>
      </c>
      <c r="C9" s="281"/>
      <c r="D9" s="281"/>
      <c r="E9" s="126">
        <f>COUNTA('Cambs Appliances'!C7:E8,'Cambs Appliances'!C17:E18,'Cambs Appliances'!J7:L8,'Cambs Appliances'!J17:L18,'Cambs Appliances'!C27:E28,'Cambs Appliances'!C37:E38,'Cambs Appliances'!C47:E48,'Cambs Appliances'!J47:L48,'Cambs Appliances'!J37:L38,'Cambs Appliances'!J27:L28,'Cambs Appliances'!C60:E61,'Cambs Appliances'!J60:L61,'Cambs Appliances'!C70:E71,'Cambs Appliances'!J70:L71,'Cambs Appliances'!C80:E81,'Cambs Appliances'!J80:L81,'Cambs Appliances'!C90:E91,'Cambs Appliances'!J90:L91,'Cambs Appliances'!C100:E101,'Cambs Appliances'!J100:L101)</f>
        <v>0</v>
      </c>
      <c r="F9" s="108"/>
      <c r="G9" s="205" t="s">
        <v>11</v>
      </c>
      <c r="H9" s="215">
        <f>'Sector Skills'!E48</f>
        <v>0</v>
      </c>
      <c r="I9" s="215"/>
      <c r="J9" s="215"/>
      <c r="K9" s="215"/>
      <c r="M9" s="271"/>
      <c r="N9" s="271"/>
      <c r="O9" s="108"/>
      <c r="P9" s="108"/>
      <c r="Q9" s="298" t="s">
        <v>2</v>
      </c>
      <c r="R9" s="299"/>
      <c r="S9" s="299"/>
      <c r="T9" s="131">
        <f>COUNTA('OTB Appliances'!C7:E8,'OTB Appliances'!C17:E18,'OTB Appliances'!C27:E28,'OTB Appliances'!C37:E38,'OTB Appliances'!J37:L38,'OTB Appliances'!J27:L28,'OTB Appliances'!J17:L18,'OTB Appliances'!J7:L8,'OTB Appliances'!C47:E48,'OTB Appliances'!J47:L48)</f>
        <v>0</v>
      </c>
      <c r="U9" s="112"/>
      <c r="V9" s="270">
        <f>('OTB Appliances'!J17)</f>
        <v>0</v>
      </c>
      <c r="W9" s="270"/>
      <c r="X9" s="196">
        <f>COUNTA('OTB Appliances'!J19:J24)</f>
        <v>0</v>
      </c>
      <c r="Y9" s="197">
        <f>('OTB Appliances'!M18)</f>
        <v>0</v>
      </c>
      <c r="Z9" s="198"/>
      <c r="AA9" s="147" t="e">
        <f>('OTB Appliances'!#REF!)</f>
        <v>#REF!</v>
      </c>
      <c r="AB9" s="167"/>
      <c r="AC9" s="174"/>
      <c r="AD9" s="174"/>
      <c r="AE9" s="174"/>
      <c r="AF9" s="174"/>
      <c r="AG9" s="175"/>
      <c r="AH9" s="175"/>
      <c r="AI9" s="175"/>
      <c r="AJ9" s="175"/>
      <c r="AK9" s="175"/>
      <c r="AL9" s="175"/>
      <c r="AM9" s="175"/>
      <c r="AN9" s="114"/>
      <c r="AO9" s="114"/>
      <c r="AP9" s="172"/>
      <c r="AQ9" s="184"/>
      <c r="AR9" s="185"/>
      <c r="AS9" s="108"/>
      <c r="AT9" s="108"/>
      <c r="AU9" s="4"/>
      <c r="AV9" s="4"/>
      <c r="AW9" s="4"/>
    </row>
    <row r="10" spans="1:49" ht="15.6" thickTop="1" thickBot="1" x14ac:dyDescent="0.35">
      <c r="A10" s="108"/>
      <c r="B10" s="281" t="s">
        <v>3</v>
      </c>
      <c r="C10" s="281"/>
      <c r="D10" s="281"/>
      <c r="E10" s="126">
        <f>COUNTA('Cambs Appliances'!Q7:S8,'Cambs Appliances'!Q17:S18,'Cambs Appliances'!Q27:S28,'Cambs Appliances'!Q37:S38,'Cambs Appliances'!Q60:S61,'Cambs Appliances'!Q70:S71,'Cambs Appliances'!Q80:S81,'Cambs Appliances'!Q90:S91)</f>
        <v>0</v>
      </c>
      <c r="F10" s="108"/>
      <c r="G10" s="205" t="s">
        <v>10</v>
      </c>
      <c r="H10" s="215">
        <f>'Sector Skills'!F48</f>
        <v>0</v>
      </c>
      <c r="I10" s="215"/>
      <c r="J10" s="215"/>
      <c r="K10" s="215"/>
      <c r="M10" s="302" t="s">
        <v>204</v>
      </c>
      <c r="N10" s="303"/>
      <c r="O10" s="304"/>
      <c r="P10" s="108"/>
      <c r="Q10" s="298" t="s">
        <v>3</v>
      </c>
      <c r="R10" s="299"/>
      <c r="S10" s="299"/>
      <c r="T10" s="131">
        <f>COUNTA('OTB Appliances'!Q7:S8,'OTB Appliances'!Q17:S18,'OTB Appliances'!Q27:S28,'OTB Appliances'!Q37:S38)</f>
        <v>0</v>
      </c>
      <c r="U10" s="112"/>
      <c r="V10" s="270">
        <f>('OTB Appliances'!J27)</f>
        <v>0</v>
      </c>
      <c r="W10" s="270"/>
      <c r="X10" s="196">
        <f>COUNTA('OTB Appliances'!J29:J34)</f>
        <v>0</v>
      </c>
      <c r="Y10" s="197">
        <f>('OTB Appliances'!M28)</f>
        <v>0</v>
      </c>
      <c r="Z10" s="198"/>
      <c r="AA10" s="147" t="e">
        <f>('OTB Appliances'!#REF!)</f>
        <v>#REF!</v>
      </c>
      <c r="AB10" s="167"/>
      <c r="AC10" s="174"/>
      <c r="AD10" s="174"/>
      <c r="AE10" s="174"/>
      <c r="AF10" s="174"/>
      <c r="AG10" s="175"/>
      <c r="AH10" s="175"/>
      <c r="AI10" s="175"/>
      <c r="AJ10" s="175"/>
      <c r="AK10" s="175"/>
      <c r="AL10" s="175"/>
      <c r="AM10" s="175"/>
      <c r="AN10" s="172"/>
      <c r="AO10" s="172"/>
      <c r="AP10" s="172"/>
      <c r="AQ10" s="184"/>
      <c r="AR10" s="185"/>
      <c r="AS10" s="108"/>
      <c r="AT10" s="108"/>
      <c r="AU10" s="4"/>
      <c r="AV10" s="4"/>
      <c r="AW10" s="4"/>
    </row>
    <row r="11" spans="1:49" ht="15" thickBot="1" x14ac:dyDescent="0.35">
      <c r="A11" s="108"/>
      <c r="B11" s="281" t="s">
        <v>4</v>
      </c>
      <c r="C11" s="281"/>
      <c r="D11" s="281"/>
      <c r="E11" s="126">
        <f>COUNTA('Cambs Appliances'!Q47:S48,'Cambs Appliances'!Q100:S101)</f>
        <v>0</v>
      </c>
      <c r="F11" s="108"/>
      <c r="G11" s="205" t="s">
        <v>454</v>
      </c>
      <c r="H11" s="215">
        <f>'Sector Skills'!N48</f>
        <v>0</v>
      </c>
      <c r="I11" s="215"/>
      <c r="J11" s="215"/>
      <c r="K11" s="215"/>
      <c r="M11" s="307" t="s">
        <v>207</v>
      </c>
      <c r="N11" s="308"/>
      <c r="O11" s="129">
        <f>SUM(O7-AJ8)</f>
        <v>0</v>
      </c>
      <c r="P11" s="108"/>
      <c r="Q11" s="298" t="s">
        <v>4</v>
      </c>
      <c r="R11" s="299"/>
      <c r="S11" s="299"/>
      <c r="T11" s="131">
        <f>COUNTA('OTB Appliances'!Q47:S48)</f>
        <v>0</v>
      </c>
      <c r="U11" s="112"/>
      <c r="V11" s="270">
        <f>('OTB Appliances'!J37)</f>
        <v>0</v>
      </c>
      <c r="W11" s="270"/>
      <c r="X11" s="196">
        <f>COUNTA('OTB Appliances'!J39:J44)</f>
        <v>0</v>
      </c>
      <c r="Y11" s="197">
        <f>('OTB Appliances'!M38)</f>
        <v>0</v>
      </c>
      <c r="Z11" s="198"/>
      <c r="AA11" s="147" t="e">
        <f>('OTB Appliances'!#REF!)</f>
        <v>#REF!</v>
      </c>
      <c r="AB11" s="167"/>
      <c r="AC11" s="174"/>
      <c r="AD11" s="174"/>
      <c r="AE11" s="174"/>
      <c r="AF11" s="174"/>
      <c r="AG11" s="175"/>
      <c r="AH11" s="175" t="s">
        <v>210</v>
      </c>
      <c r="AI11" s="175" t="s">
        <v>209</v>
      </c>
      <c r="AJ11" s="86">
        <f t="shared" ref="AJ11:AJ25" si="0">COUNTA(F24)</f>
        <v>0</v>
      </c>
      <c r="AK11" s="86">
        <f t="shared" ref="AK11:AK25" si="1">SUMIF(AJ11,1,D24)</f>
        <v>0</v>
      </c>
      <c r="AL11" s="175"/>
      <c r="AM11" s="175"/>
      <c r="AN11" s="114"/>
      <c r="AO11" s="114"/>
      <c r="AP11" s="172"/>
      <c r="AQ11" s="184"/>
      <c r="AR11" s="185"/>
      <c r="AS11" s="108"/>
      <c r="AT11" s="108"/>
      <c r="AU11" s="4"/>
      <c r="AV11" s="4"/>
      <c r="AW11" s="4"/>
    </row>
    <row r="12" spans="1:49" ht="15" thickBot="1" x14ac:dyDescent="0.35">
      <c r="A12" s="108"/>
      <c r="B12" s="107"/>
      <c r="C12" s="107"/>
      <c r="D12" s="107"/>
      <c r="E12" s="125"/>
      <c r="F12" s="108"/>
      <c r="G12" s="205" t="s">
        <v>337</v>
      </c>
      <c r="H12" s="215">
        <f>'Sector Skills'!P48</f>
        <v>0</v>
      </c>
      <c r="I12" s="215"/>
      <c r="J12" s="215"/>
      <c r="K12" s="215"/>
      <c r="M12" s="307" t="s">
        <v>208</v>
      </c>
      <c r="N12" s="308"/>
      <c r="O12" s="129">
        <f>SUM(O5-AK26,-AK42,-AJ72,-AJ90)</f>
        <v>0</v>
      </c>
      <c r="P12" s="108"/>
      <c r="Q12" s="103"/>
      <c r="R12" s="104"/>
      <c r="S12" s="104"/>
      <c r="T12" s="105"/>
      <c r="U12" s="112"/>
      <c r="V12" s="270">
        <f>('OTB Appliances'!J47)</f>
        <v>0</v>
      </c>
      <c r="W12" s="270"/>
      <c r="X12" s="196">
        <f>COUNTA('OTB Appliances'!J49:J54)</f>
        <v>0</v>
      </c>
      <c r="Y12" s="197">
        <f>('OTB Appliances'!M48)</f>
        <v>0</v>
      </c>
      <c r="Z12" s="198"/>
      <c r="AA12" s="147" t="e">
        <f>('OTB Appliances'!#REF!)</f>
        <v>#REF!</v>
      </c>
      <c r="AB12" s="167"/>
      <c r="AC12" s="174"/>
      <c r="AD12" s="174"/>
      <c r="AE12" s="174"/>
      <c r="AF12" s="174"/>
      <c r="AG12" s="175"/>
      <c r="AH12" s="175"/>
      <c r="AI12" s="175"/>
      <c r="AJ12" s="86">
        <f t="shared" si="0"/>
        <v>0</v>
      </c>
      <c r="AK12" s="86">
        <f t="shared" si="1"/>
        <v>0</v>
      </c>
      <c r="AL12" s="175"/>
      <c r="AM12" s="175"/>
      <c r="AN12" s="114"/>
      <c r="AO12" s="114"/>
      <c r="AP12" s="172"/>
      <c r="AQ12" s="184"/>
      <c r="AR12" s="185"/>
      <c r="AS12" s="108"/>
      <c r="AT12" s="108"/>
      <c r="AU12" s="4"/>
      <c r="AV12" s="4"/>
      <c r="AW12" s="4"/>
    </row>
    <row r="13" spans="1:49" ht="15" thickBot="1" x14ac:dyDescent="0.35">
      <c r="A13" s="108"/>
      <c r="B13" s="280" t="s">
        <v>5</v>
      </c>
      <c r="C13" s="280"/>
      <c r="D13" s="280"/>
      <c r="E13" s="124"/>
      <c r="F13" s="108"/>
      <c r="G13" s="205" t="s">
        <v>338</v>
      </c>
      <c r="H13" s="216">
        <f>'Sector Skills'!Q48</f>
        <v>0</v>
      </c>
      <c r="I13" s="217"/>
      <c r="J13" s="217"/>
      <c r="K13" s="215"/>
      <c r="M13" s="311" t="s">
        <v>8</v>
      </c>
      <c r="N13" s="312"/>
      <c r="O13" s="130">
        <f>SUM(E20-AJ129)</f>
        <v>0</v>
      </c>
      <c r="P13" s="108"/>
      <c r="Q13" s="296" t="s">
        <v>33</v>
      </c>
      <c r="R13" s="297"/>
      <c r="S13" s="297"/>
      <c r="T13" s="102"/>
      <c r="U13" s="112"/>
      <c r="V13" s="267">
        <f>('OTB Appliances'!Q7)</f>
        <v>0</v>
      </c>
      <c r="W13" s="267"/>
      <c r="X13" s="199">
        <f>COUNTA('OTB Appliances'!Q9:Q14)</f>
        <v>0</v>
      </c>
      <c r="Y13" s="200">
        <f>('OTB Appliances'!T8)</f>
        <v>0</v>
      </c>
      <c r="Z13" s="198"/>
      <c r="AA13" s="148">
        <f>('OTB Appliances'!D7)</f>
        <v>0</v>
      </c>
      <c r="AB13" s="167"/>
      <c r="AC13" s="174"/>
      <c r="AD13" s="174"/>
      <c r="AE13" s="174"/>
      <c r="AF13" s="174"/>
      <c r="AG13" s="175"/>
      <c r="AH13" s="175"/>
      <c r="AI13" s="175"/>
      <c r="AJ13" s="86">
        <f t="shared" si="0"/>
        <v>0</v>
      </c>
      <c r="AK13" s="86">
        <f t="shared" si="1"/>
        <v>0</v>
      </c>
      <c r="AL13" s="175"/>
      <c r="AM13" s="175"/>
      <c r="AN13" s="114"/>
      <c r="AO13" s="114"/>
      <c r="AP13" s="172"/>
      <c r="AQ13" s="184"/>
      <c r="AR13" s="185"/>
      <c r="AS13" s="108"/>
      <c r="AT13" s="108"/>
      <c r="AU13" s="4"/>
      <c r="AV13" s="4"/>
      <c r="AW13" s="4"/>
    </row>
    <row r="14" spans="1:49" ht="15.6" thickTop="1" thickBot="1" x14ac:dyDescent="0.35">
      <c r="A14" s="108"/>
      <c r="B14" s="283" t="s">
        <v>6</v>
      </c>
      <c r="C14" s="284"/>
      <c r="D14" s="284"/>
      <c r="E14" s="128">
        <f>COUNTA(Officers!B10:C25)</f>
        <v>0</v>
      </c>
      <c r="F14" s="108"/>
      <c r="G14" s="205" t="s">
        <v>18</v>
      </c>
      <c r="H14" s="128">
        <f>'Sector Skills'!AC48</f>
        <v>0</v>
      </c>
      <c r="I14" s="217"/>
      <c r="J14" s="217"/>
      <c r="K14" s="215"/>
      <c r="M14" s="108"/>
      <c r="N14" s="108"/>
      <c r="O14" s="108"/>
      <c r="P14" s="108"/>
      <c r="Q14" s="300" t="s">
        <v>6</v>
      </c>
      <c r="R14" s="301"/>
      <c r="S14" s="301"/>
      <c r="T14" s="132">
        <f>COUNTA(Officers!K10:L25)</f>
        <v>0</v>
      </c>
      <c r="U14" s="112"/>
      <c r="V14" s="267">
        <f>('OTB Appliances'!Q17)</f>
        <v>0</v>
      </c>
      <c r="W14" s="267"/>
      <c r="X14" s="199">
        <f>COUNTA('OTB Appliances'!Q19:Q24)</f>
        <v>0</v>
      </c>
      <c r="Y14" s="200">
        <f>('OTB Appliances'!T18)</f>
        <v>0</v>
      </c>
      <c r="Z14" s="198"/>
      <c r="AA14" s="148">
        <f>('OTB Appliances'!D17)</f>
        <v>0</v>
      </c>
      <c r="AB14" s="167"/>
      <c r="AC14" s="174"/>
      <c r="AD14" s="174"/>
      <c r="AE14" s="174"/>
      <c r="AF14" s="174"/>
      <c r="AG14" s="175"/>
      <c r="AH14" s="175"/>
      <c r="AI14" s="175"/>
      <c r="AJ14" s="86">
        <f t="shared" si="0"/>
        <v>0</v>
      </c>
      <c r="AK14" s="86">
        <f t="shared" si="1"/>
        <v>0</v>
      </c>
      <c r="AL14" s="175"/>
      <c r="AM14" s="175"/>
      <c r="AN14" s="114"/>
      <c r="AO14" s="114"/>
      <c r="AP14" s="172"/>
      <c r="AQ14" s="184"/>
      <c r="AR14" s="185"/>
      <c r="AS14" s="108"/>
      <c r="AT14" s="108"/>
      <c r="AU14" s="4"/>
      <c r="AV14" s="4"/>
      <c r="AW14" s="4"/>
    </row>
    <row r="15" spans="1:49" ht="15" thickBot="1" x14ac:dyDescent="0.35">
      <c r="A15" s="108"/>
      <c r="B15" s="281" t="s">
        <v>199</v>
      </c>
      <c r="C15" s="281"/>
      <c r="D15" s="281"/>
      <c r="E15" s="126">
        <f>COUNTIF('Cambs Appliances'!C9:S107,"W*")</f>
        <v>0</v>
      </c>
      <c r="F15" s="108"/>
      <c r="G15" s="205" t="s">
        <v>13</v>
      </c>
      <c r="H15" s="128">
        <f>'Sector Skills'!K48</f>
        <v>0</v>
      </c>
      <c r="I15" s="217"/>
      <c r="J15" s="217"/>
      <c r="K15" s="215"/>
      <c r="M15" s="66" t="str">
        <f>H23</f>
        <v>Sector 1</v>
      </c>
      <c r="N15" s="273"/>
      <c r="O15" s="273"/>
      <c r="P15" s="108"/>
      <c r="Q15" s="298" t="s">
        <v>199</v>
      </c>
      <c r="R15" s="299"/>
      <c r="S15" s="299"/>
      <c r="T15" s="131">
        <f>COUNTIF('OTB Appliances'!C9:S54,"W*")</f>
        <v>0</v>
      </c>
      <c r="U15" s="112"/>
      <c r="V15" s="267">
        <f>('OTB Appliances'!Q27)</f>
        <v>0</v>
      </c>
      <c r="W15" s="267"/>
      <c r="X15" s="199">
        <f>COUNTA('OTB Appliances'!Q29:Q34)</f>
        <v>0</v>
      </c>
      <c r="Y15" s="200">
        <f>('OTB Appliances'!T28)</f>
        <v>0</v>
      </c>
      <c r="Z15" s="198"/>
      <c r="AA15" s="148">
        <f>('OTB Appliances'!D27)</f>
        <v>0</v>
      </c>
      <c r="AB15" s="167"/>
      <c r="AC15" s="174"/>
      <c r="AD15" s="174"/>
      <c r="AE15" s="174"/>
      <c r="AF15" s="174"/>
      <c r="AG15" s="175"/>
      <c r="AH15" s="175"/>
      <c r="AI15" s="175"/>
      <c r="AJ15" s="86">
        <f t="shared" si="0"/>
        <v>0</v>
      </c>
      <c r="AK15" s="86">
        <f t="shared" si="1"/>
        <v>0</v>
      </c>
      <c r="AL15" s="175"/>
      <c r="AM15" s="175"/>
      <c r="AN15" s="114"/>
      <c r="AO15" s="114"/>
      <c r="AP15" s="172"/>
      <c r="AQ15" s="184"/>
      <c r="AR15" s="185"/>
      <c r="AS15" s="108"/>
      <c r="AT15" s="108"/>
      <c r="AU15" s="4"/>
      <c r="AV15" s="4"/>
      <c r="AW15" s="4"/>
    </row>
    <row r="16" spans="1:49" ht="15" thickBot="1" x14ac:dyDescent="0.35">
      <c r="A16" s="108"/>
      <c r="B16" s="281" t="s">
        <v>198</v>
      </c>
      <c r="C16" s="281"/>
      <c r="D16" s="281"/>
      <c r="E16" s="126">
        <f>COUNTIF('Cambs Appliances'!C9:S107,"C*")</f>
        <v>0</v>
      </c>
      <c r="F16" s="108"/>
      <c r="G16" s="205" t="s">
        <v>466</v>
      </c>
      <c r="H16" s="128">
        <f>'Sector Skills'!X48</f>
        <v>0</v>
      </c>
      <c r="I16" s="217"/>
      <c r="J16" s="217"/>
      <c r="K16" s="215"/>
      <c r="M16" s="66" t="str">
        <f>M23</f>
        <v>Sector 2</v>
      </c>
      <c r="N16" s="273"/>
      <c r="O16" s="273"/>
      <c r="P16" s="108"/>
      <c r="Q16" s="298" t="s">
        <v>198</v>
      </c>
      <c r="R16" s="299"/>
      <c r="S16" s="299"/>
      <c r="T16" s="131">
        <f>COUNTIF('OTB Appliances'!C9:S54,"C*")</f>
        <v>0</v>
      </c>
      <c r="U16" s="112"/>
      <c r="V16" s="267">
        <f>('OTB Appliances'!Q37)</f>
        <v>0</v>
      </c>
      <c r="W16" s="267"/>
      <c r="X16" s="199">
        <f>COUNTA('OTB Appliances'!Q39:Q44)</f>
        <v>0</v>
      </c>
      <c r="Y16" s="200">
        <f>('OTB Appliances'!T38)</f>
        <v>0</v>
      </c>
      <c r="Z16" s="198"/>
      <c r="AA16" s="148">
        <f>('OTB Appliances'!D37)</f>
        <v>0</v>
      </c>
      <c r="AB16" s="167"/>
      <c r="AC16" s="174"/>
      <c r="AD16" s="174"/>
      <c r="AE16" s="174"/>
      <c r="AF16" s="174"/>
      <c r="AG16" s="175"/>
      <c r="AH16" s="175"/>
      <c r="AI16" s="175"/>
      <c r="AJ16" s="86">
        <f t="shared" si="0"/>
        <v>0</v>
      </c>
      <c r="AK16" s="86">
        <f t="shared" si="1"/>
        <v>0</v>
      </c>
      <c r="AL16" s="175"/>
      <c r="AM16" s="175"/>
      <c r="AN16" s="114"/>
      <c r="AO16" s="114"/>
      <c r="AP16" s="172"/>
      <c r="AQ16" s="184"/>
      <c r="AR16" s="186"/>
      <c r="AS16" s="108"/>
      <c r="AT16" s="108"/>
      <c r="AU16" s="4"/>
      <c r="AV16" s="4"/>
      <c r="AW16" s="4"/>
    </row>
    <row r="17" spans="1:51" ht="15" thickBot="1" x14ac:dyDescent="0.35">
      <c r="A17" s="108"/>
      <c r="B17" s="281" t="s">
        <v>7</v>
      </c>
      <c r="C17" s="281"/>
      <c r="D17" s="281"/>
      <c r="E17" s="126">
        <f>COUNTIF('Cambs Appliances'!C9:S107,"FF*")</f>
        <v>0</v>
      </c>
      <c r="F17" s="108"/>
      <c r="G17" s="205" t="s">
        <v>460</v>
      </c>
      <c r="H17" s="128">
        <f>'Sector Skills'!R48</f>
        <v>0</v>
      </c>
      <c r="I17" s="217"/>
      <c r="J17" s="217"/>
      <c r="K17" s="215"/>
      <c r="M17" s="66" t="str">
        <f>R23</f>
        <v>Sector 3</v>
      </c>
      <c r="N17" s="273"/>
      <c r="O17" s="273"/>
      <c r="P17" s="108"/>
      <c r="Q17" s="309" t="s">
        <v>7</v>
      </c>
      <c r="R17" s="310"/>
      <c r="S17" s="310"/>
      <c r="T17" s="133">
        <f>COUNTIF('OTB Appliances'!C9:S54,"FF*")</f>
        <v>0</v>
      </c>
      <c r="U17" s="112"/>
      <c r="V17" s="268">
        <f>('OTB Appliances'!Q47)</f>
        <v>0</v>
      </c>
      <c r="W17" s="268"/>
      <c r="X17" s="201">
        <f>COUNTA('OTB Appliances'!Q49:Q54)</f>
        <v>0</v>
      </c>
      <c r="Y17" s="202">
        <f>('OTB Appliances'!T48)</f>
        <v>0</v>
      </c>
      <c r="Z17" s="198"/>
      <c r="AA17" s="149">
        <f>('OTB Appliances'!D47)</f>
        <v>0</v>
      </c>
      <c r="AB17" s="167"/>
      <c r="AC17" s="174"/>
      <c r="AD17" s="174"/>
      <c r="AE17" s="174"/>
      <c r="AF17" s="174"/>
      <c r="AG17" s="175"/>
      <c r="AH17" s="175"/>
      <c r="AI17" s="175"/>
      <c r="AJ17" s="86">
        <f t="shared" si="0"/>
        <v>0</v>
      </c>
      <c r="AK17" s="86">
        <f t="shared" si="1"/>
        <v>0</v>
      </c>
      <c r="AL17" s="175"/>
      <c r="AM17" s="175"/>
      <c r="AN17" s="114"/>
      <c r="AO17" s="114"/>
      <c r="AP17" s="172"/>
      <c r="AQ17" s="184"/>
      <c r="AR17" s="185"/>
      <c r="AS17" s="108"/>
      <c r="AT17" s="108"/>
      <c r="AU17" s="4"/>
      <c r="AV17" s="4"/>
      <c r="AW17" s="4"/>
    </row>
    <row r="18" spans="1:51" ht="15" thickTop="1" x14ac:dyDescent="0.3">
      <c r="A18" s="108"/>
      <c r="B18" s="108"/>
      <c r="C18" s="108"/>
      <c r="D18" s="108"/>
      <c r="E18" s="108"/>
      <c r="F18" s="108"/>
      <c r="G18" s="205" t="s">
        <v>463</v>
      </c>
      <c r="H18" s="215">
        <f>'Sector Skills'!U48</f>
        <v>0</v>
      </c>
      <c r="I18" s="215"/>
      <c r="J18" s="215"/>
      <c r="K18" s="215"/>
      <c r="M18" s="66" t="str">
        <f>W23</f>
        <v>Sector 4</v>
      </c>
      <c r="N18" s="273"/>
      <c r="O18" s="273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10"/>
      <c r="AA18" s="79"/>
      <c r="AB18" s="79"/>
      <c r="AC18" s="79"/>
      <c r="AD18" s="79"/>
      <c r="AE18" s="79"/>
      <c r="AF18" s="79"/>
      <c r="AG18" s="4"/>
      <c r="AH18" s="4"/>
      <c r="AI18" s="4"/>
      <c r="AJ18" s="32">
        <f t="shared" si="0"/>
        <v>0</v>
      </c>
      <c r="AK18" s="32">
        <f t="shared" si="1"/>
        <v>0</v>
      </c>
      <c r="AL18" s="4"/>
      <c r="AM18" s="4"/>
      <c r="AN18" s="114"/>
      <c r="AO18" s="114"/>
      <c r="AP18" s="172"/>
      <c r="AQ18" s="184"/>
      <c r="AR18" s="185"/>
      <c r="AS18" s="108"/>
      <c r="AT18" s="108"/>
      <c r="AU18" s="4"/>
      <c r="AV18" s="4"/>
      <c r="AW18" s="4"/>
    </row>
    <row r="19" spans="1:51" ht="15" thickBot="1" x14ac:dyDescent="0.35">
      <c r="A19" s="108"/>
      <c r="B19" s="280" t="s">
        <v>8</v>
      </c>
      <c r="C19" s="280"/>
      <c r="D19" s="280"/>
      <c r="E19" s="124"/>
      <c r="F19" s="108"/>
      <c r="G19" s="205" t="s">
        <v>465</v>
      </c>
      <c r="H19" s="215">
        <f>'Sector Skills'!W48</f>
        <v>0</v>
      </c>
      <c r="I19" s="215"/>
      <c r="J19" s="215"/>
      <c r="K19" s="215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10"/>
      <c r="AA19" s="114"/>
      <c r="AB19" s="114"/>
      <c r="AC19" s="114"/>
      <c r="AD19" s="114"/>
      <c r="AE19" s="114"/>
      <c r="AF19" s="114"/>
      <c r="AG19" s="108"/>
      <c r="AH19" s="108"/>
      <c r="AI19" s="108"/>
      <c r="AJ19" s="111">
        <f t="shared" si="0"/>
        <v>0</v>
      </c>
      <c r="AK19" s="111">
        <f t="shared" si="1"/>
        <v>0</v>
      </c>
      <c r="AL19" s="108"/>
      <c r="AM19" s="108"/>
      <c r="AN19" s="108"/>
      <c r="AO19" s="108"/>
      <c r="AP19" s="108"/>
      <c r="AQ19" s="108"/>
      <c r="AR19" s="108"/>
      <c r="AS19" s="108"/>
      <c r="AT19" s="108"/>
      <c r="AU19" s="4"/>
      <c r="AV19" s="4"/>
      <c r="AW19" s="4"/>
    </row>
    <row r="20" spans="1:51" ht="15.6" thickTop="1" thickBot="1" x14ac:dyDescent="0.35">
      <c r="A20" s="108"/>
      <c r="B20" s="281" t="s">
        <v>8</v>
      </c>
      <c r="C20" s="281"/>
      <c r="D20" s="281"/>
      <c r="E20" s="126">
        <f>COUNTA('Other Agencies'!B5:D42)</f>
        <v>0</v>
      </c>
      <c r="F20" s="108"/>
      <c r="G20" s="205" t="s">
        <v>464</v>
      </c>
      <c r="H20" s="215">
        <f>'Sector Skills'!V48</f>
        <v>0</v>
      </c>
      <c r="I20" s="215"/>
      <c r="J20" s="215"/>
      <c r="K20" s="215"/>
      <c r="M20" s="274" t="s">
        <v>223</v>
      </c>
      <c r="N20" s="275"/>
      <c r="O20" s="166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10"/>
      <c r="AA20" s="276"/>
      <c r="AB20" s="276"/>
      <c r="AC20" s="276"/>
      <c r="AD20" s="276"/>
      <c r="AE20" s="276"/>
      <c r="AF20" s="276"/>
      <c r="AG20" s="108"/>
      <c r="AH20" s="108"/>
      <c r="AI20" s="108"/>
      <c r="AJ20" s="111">
        <f t="shared" si="0"/>
        <v>0</v>
      </c>
      <c r="AK20" s="111">
        <f t="shared" si="1"/>
        <v>0</v>
      </c>
      <c r="AL20" s="108"/>
      <c r="AM20" s="108"/>
      <c r="AN20" s="108"/>
      <c r="AO20" s="108"/>
      <c r="AP20" s="108"/>
      <c r="AQ20" s="108"/>
      <c r="AR20" s="108"/>
      <c r="AS20" s="108"/>
      <c r="AT20" s="108"/>
      <c r="AU20" s="182"/>
      <c r="AV20" s="114"/>
      <c r="AW20" s="183"/>
      <c r="AX20" s="183"/>
      <c r="AY20" s="183"/>
    </row>
    <row r="21" spans="1:51" ht="15.6" thickTop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10"/>
      <c r="AA21" s="276"/>
      <c r="AB21" s="276"/>
      <c r="AC21" s="276"/>
      <c r="AD21" s="276"/>
      <c r="AE21" s="276"/>
      <c r="AF21" s="276"/>
      <c r="AG21" s="108"/>
      <c r="AH21" s="108"/>
      <c r="AI21" s="108"/>
      <c r="AJ21" s="111">
        <f t="shared" si="0"/>
        <v>0</v>
      </c>
      <c r="AK21" s="111">
        <f t="shared" si="1"/>
        <v>0</v>
      </c>
      <c r="AL21" s="108"/>
      <c r="AM21" s="108"/>
      <c r="AN21" s="108"/>
      <c r="AO21" s="108"/>
      <c r="AP21" s="108"/>
      <c r="AQ21" s="108"/>
      <c r="AR21" s="108"/>
      <c r="AS21" s="108"/>
      <c r="AT21" s="108"/>
      <c r="AU21" s="114"/>
      <c r="AV21" s="114"/>
      <c r="AW21" s="172"/>
      <c r="AX21" s="184"/>
      <c r="AY21" s="185"/>
    </row>
    <row r="22" spans="1:51" ht="18.600000000000001" thickTop="1" x14ac:dyDescent="0.35">
      <c r="A22" s="108"/>
      <c r="B22" s="108"/>
      <c r="C22" s="108"/>
      <c r="D22" s="108"/>
      <c r="E22" s="108"/>
      <c r="F22" s="108"/>
      <c r="G22" s="108"/>
      <c r="H22" s="313">
        <v>1</v>
      </c>
      <c r="I22" s="313"/>
      <c r="J22" s="313"/>
      <c r="K22" s="229" t="s">
        <v>1170</v>
      </c>
      <c r="L22" s="194"/>
      <c r="M22" s="313">
        <v>2</v>
      </c>
      <c r="N22" s="313"/>
      <c r="O22" s="313"/>
      <c r="P22" s="229" t="s">
        <v>1170</v>
      </c>
      <c r="Q22" s="194"/>
      <c r="R22" s="313">
        <v>3</v>
      </c>
      <c r="S22" s="313"/>
      <c r="T22" s="313"/>
      <c r="U22" s="229" t="s">
        <v>1170</v>
      </c>
      <c r="V22" s="194"/>
      <c r="W22" s="313">
        <v>4</v>
      </c>
      <c r="X22" s="313"/>
      <c r="Y22" s="313"/>
      <c r="Z22" s="229" t="s">
        <v>1170</v>
      </c>
      <c r="AA22" s="276"/>
      <c r="AB22" s="276"/>
      <c r="AC22" s="276"/>
      <c r="AD22" s="276"/>
      <c r="AE22" s="276"/>
      <c r="AF22" s="276"/>
      <c r="AG22" s="108"/>
      <c r="AH22" s="108"/>
      <c r="AI22" s="108"/>
      <c r="AJ22" s="111">
        <f t="shared" si="0"/>
        <v>0</v>
      </c>
      <c r="AK22" s="111">
        <f t="shared" si="1"/>
        <v>0</v>
      </c>
      <c r="AL22" s="108"/>
      <c r="AM22" s="108"/>
      <c r="AN22" s="108"/>
      <c r="AO22" s="271"/>
      <c r="AP22" s="272"/>
      <c r="AQ22" s="272"/>
      <c r="AR22" s="108"/>
      <c r="AS22" s="108"/>
      <c r="AT22" s="108"/>
      <c r="AU22" s="114"/>
      <c r="AV22" s="114"/>
      <c r="AW22" s="172"/>
      <c r="AX22" s="184"/>
      <c r="AY22" s="185"/>
    </row>
    <row r="23" spans="1:51" ht="15" customHeight="1" thickBot="1" x14ac:dyDescent="0.4">
      <c r="A23" s="107"/>
      <c r="B23" s="282" t="s">
        <v>20</v>
      </c>
      <c r="C23" s="282"/>
      <c r="D23" s="195" t="s">
        <v>21</v>
      </c>
      <c r="E23" s="195" t="s">
        <v>22</v>
      </c>
      <c r="F23" s="195" t="s">
        <v>23</v>
      </c>
      <c r="G23" s="108"/>
      <c r="H23" s="277" t="s">
        <v>27</v>
      </c>
      <c r="I23" s="278"/>
      <c r="J23" s="135">
        <f>COUNTA(I24:I45)</f>
        <v>0</v>
      </c>
      <c r="K23" s="230">
        <f>'Sector Skills'!N48</f>
        <v>0</v>
      </c>
      <c r="L23" s="6"/>
      <c r="M23" s="277" t="s">
        <v>28</v>
      </c>
      <c r="N23" s="278"/>
      <c r="O23" s="135">
        <f>COUNTA(N24:N45)</f>
        <v>0</v>
      </c>
      <c r="P23" s="230">
        <f>'Sector Skills'!N73</f>
        <v>0</v>
      </c>
      <c r="Q23" s="194"/>
      <c r="R23" s="277" t="s">
        <v>29</v>
      </c>
      <c r="S23" s="278"/>
      <c r="T23" s="135">
        <f>COUNTA(S24:S45)</f>
        <v>0</v>
      </c>
      <c r="U23" s="230">
        <f>'Sector Skills'!S73</f>
        <v>0</v>
      </c>
      <c r="V23" s="194"/>
      <c r="W23" s="277" t="s">
        <v>30</v>
      </c>
      <c r="X23" s="278"/>
      <c r="Y23" s="135">
        <f>COUNTA(X24:X45)</f>
        <v>0</v>
      </c>
      <c r="Z23" s="230">
        <f>'Sector Skills'!X73</f>
        <v>0</v>
      </c>
      <c r="AA23" s="276"/>
      <c r="AB23" s="276"/>
      <c r="AC23" s="276"/>
      <c r="AD23" s="276"/>
      <c r="AE23" s="276"/>
      <c r="AF23" s="276"/>
      <c r="AG23" s="108"/>
      <c r="AH23" s="108"/>
      <c r="AI23" s="108"/>
      <c r="AJ23" s="111">
        <f t="shared" si="0"/>
        <v>0</v>
      </c>
      <c r="AK23" s="111">
        <f t="shared" si="1"/>
        <v>0</v>
      </c>
      <c r="AL23" s="108"/>
      <c r="AM23" s="108"/>
      <c r="AN23" s="108"/>
      <c r="AO23" s="171"/>
      <c r="AP23" s="272"/>
      <c r="AQ23" s="272"/>
      <c r="AR23" s="108"/>
      <c r="AS23" s="108"/>
      <c r="AT23" s="108"/>
      <c r="AU23" s="114"/>
      <c r="AV23" s="114"/>
      <c r="AW23" s="172"/>
      <c r="AX23" s="184"/>
      <c r="AY23" s="185"/>
    </row>
    <row r="24" spans="1:51" ht="15" customHeight="1" thickTop="1" x14ac:dyDescent="0.35">
      <c r="A24" s="107"/>
      <c r="B24" s="270">
        <f xml:space="preserve"> ('Cambs Appliances'!C7)</f>
        <v>0</v>
      </c>
      <c r="C24" s="270"/>
      <c r="D24" s="196">
        <f>COUNTA('Cambs Appliances'!D9:D14)</f>
        <v>0</v>
      </c>
      <c r="E24" s="197">
        <f xml:space="preserve"> ('Cambs Appliances'!F8)</f>
        <v>0</v>
      </c>
      <c r="F24" s="198"/>
      <c r="G24" s="108"/>
      <c r="H24" s="218" t="str">
        <f>'Sector Skills'!B26</f>
        <v/>
      </c>
      <c r="I24" s="279"/>
      <c r="J24" s="279"/>
      <c r="K24" s="3"/>
      <c r="L24" s="1"/>
      <c r="M24" s="218" t="str">
        <f>'Sector Skills'!G26</f>
        <v/>
      </c>
      <c r="N24" s="279"/>
      <c r="O24" s="279"/>
      <c r="P24" s="3"/>
      <c r="Q24" s="194"/>
      <c r="R24" s="218" t="str">
        <f>'Sector Skills'!L26</f>
        <v/>
      </c>
      <c r="S24" s="279"/>
      <c r="T24" s="279"/>
      <c r="U24" s="3"/>
      <c r="V24" s="194"/>
      <c r="W24" s="218" t="str">
        <f>'Sector Skills'!Q26</f>
        <v/>
      </c>
      <c r="X24" s="279"/>
      <c r="Y24" s="279"/>
      <c r="Z24" s="3"/>
      <c r="AA24" s="276"/>
      <c r="AB24" s="276"/>
      <c r="AC24" s="276"/>
      <c r="AD24" s="276"/>
      <c r="AE24" s="276"/>
      <c r="AF24" s="276"/>
      <c r="AG24" s="108"/>
      <c r="AH24" s="108"/>
      <c r="AI24" s="108"/>
      <c r="AJ24" s="111">
        <f t="shared" si="0"/>
        <v>0</v>
      </c>
      <c r="AK24" s="111">
        <f t="shared" si="1"/>
        <v>0</v>
      </c>
      <c r="AL24" s="108"/>
      <c r="AM24" s="108"/>
      <c r="AN24" s="108"/>
      <c r="AO24" s="171"/>
      <c r="AP24" s="272"/>
      <c r="AQ24" s="272"/>
      <c r="AR24" s="108"/>
      <c r="AS24" s="108"/>
      <c r="AT24" s="108"/>
      <c r="AU24" s="114"/>
      <c r="AV24" s="114"/>
      <c r="AW24" s="172"/>
      <c r="AX24" s="184"/>
      <c r="AY24" s="185"/>
    </row>
    <row r="25" spans="1:51" ht="15" customHeight="1" x14ac:dyDescent="0.35">
      <c r="A25" s="107"/>
      <c r="B25" s="270">
        <f xml:space="preserve"> ('Cambs Appliances'!C17)</f>
        <v>0</v>
      </c>
      <c r="C25" s="270"/>
      <c r="D25" s="196">
        <f>COUNTA('Cambs Appliances'!D19:E24)</f>
        <v>0</v>
      </c>
      <c r="E25" s="197">
        <f xml:space="preserve"> ('Cambs Appliances'!F18)</f>
        <v>0</v>
      </c>
      <c r="F25" s="198"/>
      <c r="G25" s="108"/>
      <c r="H25" s="218" t="str">
        <f>'Sector Skills'!B27</f>
        <v/>
      </c>
      <c r="I25" s="279"/>
      <c r="J25" s="279"/>
      <c r="K25" s="228"/>
      <c r="L25" s="1"/>
      <c r="M25" s="218" t="str">
        <f>'Sector Skills'!G27</f>
        <v/>
      </c>
      <c r="N25" s="265"/>
      <c r="O25" s="265"/>
      <c r="P25" s="228"/>
      <c r="Q25" s="194"/>
      <c r="R25" s="218" t="str">
        <f>'Sector Skills'!L27</f>
        <v/>
      </c>
      <c r="S25" s="265"/>
      <c r="T25" s="265"/>
      <c r="U25" s="228"/>
      <c r="V25" s="194"/>
      <c r="W25" s="218" t="str">
        <f>'Sector Skills'!Q27</f>
        <v/>
      </c>
      <c r="X25" s="265"/>
      <c r="Y25" s="265"/>
      <c r="Z25" s="228"/>
      <c r="AA25" s="276"/>
      <c r="AB25" s="276"/>
      <c r="AC25" s="276"/>
      <c r="AD25" s="276"/>
      <c r="AE25" s="276"/>
      <c r="AF25" s="276"/>
      <c r="AG25" s="108"/>
      <c r="AH25" s="108"/>
      <c r="AI25" s="108"/>
      <c r="AJ25" s="111">
        <f t="shared" si="0"/>
        <v>0</v>
      </c>
      <c r="AK25" s="111">
        <f t="shared" si="1"/>
        <v>0</v>
      </c>
      <c r="AL25" s="108"/>
      <c r="AM25" s="108"/>
      <c r="AN25" s="108"/>
      <c r="AO25" s="171"/>
      <c r="AP25" s="272"/>
      <c r="AQ25" s="272"/>
      <c r="AR25" s="108"/>
      <c r="AS25" s="108"/>
      <c r="AT25" s="108"/>
      <c r="AU25" s="114"/>
      <c r="AV25" s="114"/>
      <c r="AW25" s="172"/>
      <c r="AX25" s="184"/>
      <c r="AY25" s="185"/>
    </row>
    <row r="26" spans="1:51" ht="15" customHeight="1" x14ac:dyDescent="0.3">
      <c r="A26" s="107"/>
      <c r="B26" s="270">
        <f xml:space="preserve"> ('Cambs Appliances'!C27)</f>
        <v>0</v>
      </c>
      <c r="C26" s="270"/>
      <c r="D26" s="196">
        <f>COUNTA('Cambs Appliances'!D29:E34)</f>
        <v>0</v>
      </c>
      <c r="E26" s="197">
        <f xml:space="preserve"> ('Cambs Appliances'!F28)</f>
        <v>0</v>
      </c>
      <c r="F26" s="198"/>
      <c r="G26" s="108"/>
      <c r="H26" s="218" t="str">
        <f>'Sector Skills'!B28</f>
        <v/>
      </c>
      <c r="I26" s="279"/>
      <c r="J26" s="279"/>
      <c r="K26" s="228"/>
      <c r="L26" s="1"/>
      <c r="M26" s="218" t="str">
        <f>'Sector Skills'!G28</f>
        <v/>
      </c>
      <c r="N26" s="265"/>
      <c r="O26" s="265"/>
      <c r="P26" s="228"/>
      <c r="Q26" s="194"/>
      <c r="R26" s="218" t="str">
        <f>'Sector Skills'!L28</f>
        <v/>
      </c>
      <c r="S26" s="265"/>
      <c r="T26" s="265"/>
      <c r="U26" s="228"/>
      <c r="V26" s="194"/>
      <c r="W26" s="218" t="str">
        <f>'Sector Skills'!Q28</f>
        <v/>
      </c>
      <c r="X26" s="265"/>
      <c r="Y26" s="265"/>
      <c r="Z26" s="228"/>
      <c r="AA26" s="276"/>
      <c r="AB26" s="276"/>
      <c r="AC26" s="276"/>
      <c r="AD26" s="276"/>
      <c r="AE26" s="276"/>
      <c r="AF26" s="276"/>
      <c r="AG26" s="108"/>
      <c r="AH26" s="108"/>
      <c r="AI26" s="108"/>
      <c r="AJ26" s="108"/>
      <c r="AK26" s="111">
        <f>SUM(AK11:AK25)</f>
        <v>0</v>
      </c>
      <c r="AL26" s="108"/>
      <c r="AM26" s="108"/>
      <c r="AN26" s="108"/>
      <c r="AO26" s="171"/>
      <c r="AP26" s="272"/>
      <c r="AQ26" s="272"/>
      <c r="AR26" s="108"/>
      <c r="AS26" s="108"/>
      <c r="AT26" s="108"/>
      <c r="AU26" s="114"/>
      <c r="AV26" s="114"/>
      <c r="AW26" s="172"/>
      <c r="AX26" s="184"/>
      <c r="AY26" s="185"/>
    </row>
    <row r="27" spans="1:51" ht="15" customHeight="1" x14ac:dyDescent="0.3">
      <c r="A27" s="107"/>
      <c r="B27" s="270">
        <f xml:space="preserve"> ('Cambs Appliances'!C37)</f>
        <v>0</v>
      </c>
      <c r="C27" s="270"/>
      <c r="D27" s="196">
        <f>COUNTA('Cambs Appliances'!D39:E44)</f>
        <v>0</v>
      </c>
      <c r="E27" s="197">
        <f xml:space="preserve"> ('Cambs Appliances'!F38)</f>
        <v>0</v>
      </c>
      <c r="F27" s="198"/>
      <c r="G27" s="108"/>
      <c r="H27" s="218" t="str">
        <f>'Sector Skills'!B29</f>
        <v/>
      </c>
      <c r="I27" s="279"/>
      <c r="J27" s="279"/>
      <c r="K27" s="228"/>
      <c r="L27" s="1"/>
      <c r="M27" s="218" t="str">
        <f>'Sector Skills'!G29</f>
        <v/>
      </c>
      <c r="N27" s="265"/>
      <c r="O27" s="265"/>
      <c r="P27" s="228"/>
      <c r="Q27" s="194"/>
      <c r="R27" s="218" t="str">
        <f>'Sector Skills'!L29</f>
        <v/>
      </c>
      <c r="S27" s="265"/>
      <c r="T27" s="265"/>
      <c r="U27" s="228"/>
      <c r="V27" s="194"/>
      <c r="W27" s="218" t="str">
        <f>'Sector Skills'!Q29</f>
        <v/>
      </c>
      <c r="X27" s="265"/>
      <c r="Y27" s="265"/>
      <c r="Z27" s="228"/>
      <c r="AA27" s="276"/>
      <c r="AB27" s="276"/>
      <c r="AC27" s="276"/>
      <c r="AD27" s="276"/>
      <c r="AE27" s="276"/>
      <c r="AF27" s="276"/>
      <c r="AG27" s="108"/>
      <c r="AH27" s="108" t="s">
        <v>211</v>
      </c>
      <c r="AI27" s="108" t="s">
        <v>212</v>
      </c>
      <c r="AJ27" s="115">
        <f t="shared" ref="AJ27:AJ41" si="2">COUNTA(Z3)</f>
        <v>0</v>
      </c>
      <c r="AK27" s="115">
        <f t="shared" ref="AK27:AK41" si="3">SUMIF(AJ27,1,X3)</f>
        <v>0</v>
      </c>
      <c r="AL27" s="108"/>
      <c r="AM27" s="108"/>
      <c r="AN27" s="108"/>
      <c r="AO27" s="108"/>
      <c r="AP27" s="108"/>
      <c r="AQ27" s="108"/>
      <c r="AR27" s="108"/>
      <c r="AS27" s="108"/>
      <c r="AT27" s="108"/>
      <c r="AU27" s="172"/>
      <c r="AV27" s="172"/>
      <c r="AW27" s="172"/>
      <c r="AX27" s="184"/>
      <c r="AY27" s="185"/>
    </row>
    <row r="28" spans="1:51" ht="15" customHeight="1" x14ac:dyDescent="0.35">
      <c r="A28" s="107"/>
      <c r="B28" s="270">
        <f xml:space="preserve"> ('Cambs Appliances'!C47)</f>
        <v>0</v>
      </c>
      <c r="C28" s="270"/>
      <c r="D28" s="196">
        <f>COUNTA('Cambs Appliances'!D49:E54)</f>
        <v>0</v>
      </c>
      <c r="E28" s="197">
        <f xml:space="preserve"> ('Cambs Appliances'!F48)</f>
        <v>0</v>
      </c>
      <c r="F28" s="198"/>
      <c r="G28" s="108"/>
      <c r="H28" s="218" t="str">
        <f>'Sector Skills'!B30</f>
        <v/>
      </c>
      <c r="I28" s="279"/>
      <c r="J28" s="279"/>
      <c r="K28" s="3"/>
      <c r="L28" s="1"/>
      <c r="M28" s="218" t="str">
        <f>'Sector Skills'!G30</f>
        <v/>
      </c>
      <c r="N28" s="265"/>
      <c r="O28" s="265"/>
      <c r="P28" s="3"/>
      <c r="Q28" s="194"/>
      <c r="R28" s="218" t="str">
        <f>'Sector Skills'!L30</f>
        <v/>
      </c>
      <c r="S28" s="265"/>
      <c r="T28" s="265"/>
      <c r="U28" s="3"/>
      <c r="V28" s="194"/>
      <c r="W28" s="218" t="str">
        <f>'Sector Skills'!Q30</f>
        <v/>
      </c>
      <c r="X28" s="265"/>
      <c r="Y28" s="265"/>
      <c r="Z28" s="3"/>
      <c r="AA28" s="276"/>
      <c r="AB28" s="276"/>
      <c r="AC28" s="276"/>
      <c r="AD28" s="276"/>
      <c r="AE28" s="276"/>
      <c r="AF28" s="276"/>
      <c r="AG28" s="108"/>
      <c r="AH28" s="108"/>
      <c r="AI28" s="108"/>
      <c r="AJ28" s="115">
        <f t="shared" si="2"/>
        <v>0</v>
      </c>
      <c r="AK28" s="115">
        <f t="shared" si="3"/>
        <v>0</v>
      </c>
      <c r="AL28" s="108"/>
      <c r="AM28" s="108"/>
      <c r="AN28" s="108"/>
      <c r="AO28" s="108"/>
      <c r="AP28" s="108"/>
      <c r="AQ28" s="108"/>
      <c r="AR28" s="108"/>
      <c r="AS28" s="108"/>
      <c r="AT28" s="108"/>
      <c r="AU28" s="114"/>
      <c r="AV28" s="114"/>
      <c r="AW28" s="172"/>
      <c r="AX28" s="184"/>
      <c r="AY28" s="185"/>
    </row>
    <row r="29" spans="1:51" ht="15" customHeight="1" x14ac:dyDescent="0.35">
      <c r="A29" s="107"/>
      <c r="B29" s="270">
        <f xml:space="preserve"> ('Cambs Appliances'!J7)</f>
        <v>0</v>
      </c>
      <c r="C29" s="270"/>
      <c r="D29" s="196">
        <f>COUNTA('Cambs Appliances'!K9:L14)</f>
        <v>0</v>
      </c>
      <c r="E29" s="197">
        <f xml:space="preserve"> ('Cambs Appliances'!M8)</f>
        <v>0</v>
      </c>
      <c r="F29" s="198"/>
      <c r="G29" s="108"/>
      <c r="H29" s="218" t="str">
        <f>'Sector Skills'!B31</f>
        <v/>
      </c>
      <c r="I29" s="279"/>
      <c r="J29" s="279"/>
      <c r="K29" s="228"/>
      <c r="L29" s="1"/>
      <c r="M29" s="218" t="str">
        <f>'Sector Skills'!G31</f>
        <v/>
      </c>
      <c r="N29" s="265"/>
      <c r="O29" s="265"/>
      <c r="P29" s="228"/>
      <c r="Q29" s="194"/>
      <c r="R29" s="218" t="str">
        <f>'Sector Skills'!L31</f>
        <v/>
      </c>
      <c r="S29" s="265"/>
      <c r="T29" s="265"/>
      <c r="U29" s="228"/>
      <c r="V29" s="194"/>
      <c r="W29" s="218" t="str">
        <f>'Sector Skills'!Q31</f>
        <v/>
      </c>
      <c r="X29" s="265"/>
      <c r="Y29" s="265"/>
      <c r="Z29" s="228"/>
      <c r="AA29" s="276"/>
      <c r="AB29" s="276"/>
      <c r="AC29" s="276"/>
      <c r="AD29" s="276"/>
      <c r="AE29" s="276"/>
      <c r="AF29" s="276"/>
      <c r="AG29" s="108"/>
      <c r="AH29" s="108"/>
      <c r="AI29" s="108"/>
      <c r="AJ29" s="115">
        <f t="shared" si="2"/>
        <v>0</v>
      </c>
      <c r="AK29" s="115">
        <f t="shared" si="3"/>
        <v>0</v>
      </c>
      <c r="AL29" s="108"/>
      <c r="AM29" s="108"/>
      <c r="AN29" s="108"/>
      <c r="AO29" s="108"/>
      <c r="AP29" s="108"/>
      <c r="AQ29" s="108"/>
      <c r="AR29" s="108"/>
      <c r="AS29" s="108"/>
      <c r="AT29" s="108"/>
      <c r="AU29" s="114"/>
      <c r="AV29" s="114"/>
      <c r="AW29" s="172"/>
      <c r="AX29" s="184"/>
      <c r="AY29" s="185"/>
    </row>
    <row r="30" spans="1:51" ht="15" customHeight="1" x14ac:dyDescent="0.35">
      <c r="A30" s="107"/>
      <c r="B30" s="270">
        <f xml:space="preserve"> ('Cambs Appliances'!J17)</f>
        <v>0</v>
      </c>
      <c r="C30" s="270"/>
      <c r="D30" s="196">
        <f>COUNTA('Cambs Appliances'!K19:L24)</f>
        <v>0</v>
      </c>
      <c r="E30" s="197">
        <f xml:space="preserve"> ('Cambs Appliances'!M18)</f>
        <v>0</v>
      </c>
      <c r="F30" s="198"/>
      <c r="G30" s="108"/>
      <c r="H30" s="220" t="str">
        <f>'Sector Skills'!B32</f>
        <v/>
      </c>
      <c r="I30" s="262"/>
      <c r="J30" s="262"/>
      <c r="K30" s="228"/>
      <c r="L30" s="1"/>
      <c r="M30" s="220" t="str">
        <f>'Sector Skills'!G32</f>
        <v/>
      </c>
      <c r="N30" s="262"/>
      <c r="O30" s="262"/>
      <c r="P30" s="228"/>
      <c r="Q30" s="194"/>
      <c r="R30" s="220" t="str">
        <f>'Sector Skills'!L32</f>
        <v/>
      </c>
      <c r="S30" s="262"/>
      <c r="T30" s="262"/>
      <c r="U30" s="228"/>
      <c r="V30" s="194"/>
      <c r="W30" s="220" t="str">
        <f>'Sector Skills'!Q32</f>
        <v/>
      </c>
      <c r="X30" s="262"/>
      <c r="Y30" s="262"/>
      <c r="Z30" s="228"/>
      <c r="AA30" s="276"/>
      <c r="AB30" s="276"/>
      <c r="AC30" s="276"/>
      <c r="AD30" s="276"/>
      <c r="AE30" s="276"/>
      <c r="AF30" s="276"/>
      <c r="AG30" s="108"/>
      <c r="AH30" s="108"/>
      <c r="AI30" s="108"/>
      <c r="AJ30" s="115">
        <f t="shared" si="2"/>
        <v>0</v>
      </c>
      <c r="AK30" s="115">
        <f t="shared" si="3"/>
        <v>0</v>
      </c>
      <c r="AL30" s="108"/>
      <c r="AM30" s="108"/>
      <c r="AN30" s="108"/>
      <c r="AO30" s="108"/>
      <c r="AP30" s="108"/>
      <c r="AQ30" s="108"/>
      <c r="AR30" s="108"/>
      <c r="AS30" s="108"/>
      <c r="AT30" s="108"/>
      <c r="AU30" s="114"/>
      <c r="AV30" s="114"/>
      <c r="AW30" s="172"/>
      <c r="AX30" s="184"/>
      <c r="AY30" s="185"/>
    </row>
    <row r="31" spans="1:51" ht="15" customHeight="1" x14ac:dyDescent="0.35">
      <c r="A31" s="107"/>
      <c r="B31" s="270">
        <f xml:space="preserve"> ('Cambs Appliances'!J27)</f>
        <v>0</v>
      </c>
      <c r="C31" s="270"/>
      <c r="D31" s="196">
        <f>COUNTA('Cambs Appliances'!K29:L34)</f>
        <v>0</v>
      </c>
      <c r="E31" s="197">
        <f xml:space="preserve"> ('Cambs Appliances'!M28)</f>
        <v>0</v>
      </c>
      <c r="F31" s="198"/>
      <c r="G31" s="108"/>
      <c r="H31" s="220" t="str">
        <f>'Sector Skills'!B33</f>
        <v/>
      </c>
      <c r="I31" s="262"/>
      <c r="J31" s="262"/>
      <c r="K31" s="228"/>
      <c r="L31" s="1"/>
      <c r="M31" s="220" t="str">
        <f>'Sector Skills'!G33</f>
        <v/>
      </c>
      <c r="N31" s="262"/>
      <c r="O31" s="262"/>
      <c r="P31" s="228"/>
      <c r="Q31" s="194"/>
      <c r="R31" s="220" t="str">
        <f>'Sector Skills'!L33</f>
        <v/>
      </c>
      <c r="S31" s="262"/>
      <c r="T31" s="262"/>
      <c r="U31" s="228"/>
      <c r="V31" s="194"/>
      <c r="W31" s="220" t="str">
        <f>'Sector Skills'!Q33</f>
        <v/>
      </c>
      <c r="X31" s="262"/>
      <c r="Y31" s="262"/>
      <c r="Z31" s="228"/>
      <c r="AA31" s="276"/>
      <c r="AB31" s="276"/>
      <c r="AC31" s="276"/>
      <c r="AD31" s="276"/>
      <c r="AE31" s="276"/>
      <c r="AF31" s="276"/>
      <c r="AG31" s="108"/>
      <c r="AH31" s="108"/>
      <c r="AI31" s="108"/>
      <c r="AJ31" s="115">
        <f t="shared" si="2"/>
        <v>0</v>
      </c>
      <c r="AK31" s="115">
        <f t="shared" si="3"/>
        <v>0</v>
      </c>
      <c r="AL31" s="108"/>
      <c r="AM31" s="108"/>
      <c r="AN31" s="108"/>
      <c r="AO31" s="108"/>
      <c r="AP31" s="108"/>
      <c r="AQ31" s="108"/>
      <c r="AR31" s="108"/>
      <c r="AS31" s="108"/>
      <c r="AT31" s="108"/>
      <c r="AU31" s="114"/>
      <c r="AV31" s="114"/>
      <c r="AW31" s="172"/>
      <c r="AX31" s="184"/>
      <c r="AY31" s="185"/>
    </row>
    <row r="32" spans="1:51" ht="15" customHeight="1" x14ac:dyDescent="0.35">
      <c r="A32" s="107"/>
      <c r="B32" s="270">
        <f xml:space="preserve"> ('Cambs Appliances'!J37)</f>
        <v>0</v>
      </c>
      <c r="C32" s="270"/>
      <c r="D32" s="196">
        <f>COUNTA('Cambs Appliances'!K39:L44)</f>
        <v>0</v>
      </c>
      <c r="E32" s="197">
        <f xml:space="preserve"> ('Cambs Appliances'!M38)</f>
        <v>0</v>
      </c>
      <c r="F32" s="198"/>
      <c r="G32" s="108"/>
      <c r="H32" s="220" t="str">
        <f>'Sector Skills'!B34</f>
        <v/>
      </c>
      <c r="I32" s="262"/>
      <c r="J32" s="262"/>
      <c r="K32" s="228"/>
      <c r="L32" s="1"/>
      <c r="M32" s="220" t="str">
        <f>'Sector Skills'!G34</f>
        <v/>
      </c>
      <c r="N32" s="262"/>
      <c r="O32" s="262"/>
      <c r="P32" s="228"/>
      <c r="Q32" s="194"/>
      <c r="R32" s="220" t="str">
        <f>'Sector Skills'!L34</f>
        <v/>
      </c>
      <c r="S32" s="262"/>
      <c r="T32" s="262"/>
      <c r="U32" s="228"/>
      <c r="V32" s="194"/>
      <c r="W32" s="220" t="str">
        <f>'Sector Skills'!Q34</f>
        <v/>
      </c>
      <c r="X32" s="262"/>
      <c r="Y32" s="262"/>
      <c r="Z32" s="228"/>
      <c r="AA32" s="276"/>
      <c r="AB32" s="276"/>
      <c r="AC32" s="276"/>
      <c r="AD32" s="276"/>
      <c r="AE32" s="276"/>
      <c r="AF32" s="276"/>
      <c r="AG32" s="108"/>
      <c r="AH32" s="108"/>
      <c r="AI32" s="108"/>
      <c r="AJ32" s="115">
        <f t="shared" si="2"/>
        <v>0</v>
      </c>
      <c r="AK32" s="115">
        <f t="shared" si="3"/>
        <v>0</v>
      </c>
      <c r="AL32" s="108"/>
      <c r="AM32" s="108"/>
      <c r="AN32" s="108"/>
      <c r="AO32" s="108"/>
      <c r="AP32" s="108"/>
      <c r="AQ32" s="108"/>
      <c r="AR32" s="108"/>
      <c r="AS32" s="108"/>
      <c r="AT32" s="108"/>
      <c r="AU32" s="114"/>
      <c r="AV32" s="114"/>
      <c r="AW32" s="172"/>
      <c r="AX32" s="184"/>
      <c r="AY32" s="185"/>
    </row>
    <row r="33" spans="1:51" ht="15" customHeight="1" x14ac:dyDescent="0.35">
      <c r="A33" s="107"/>
      <c r="B33" s="270">
        <f xml:space="preserve"> ('Cambs Appliances'!J47)</f>
        <v>0</v>
      </c>
      <c r="C33" s="270"/>
      <c r="D33" s="196">
        <f>COUNTA('Cambs Appliances'!K49:L54)</f>
        <v>0</v>
      </c>
      <c r="E33" s="197">
        <f xml:space="preserve"> ('Cambs Appliances'!M48)</f>
        <v>0</v>
      </c>
      <c r="F33" s="198"/>
      <c r="G33" s="108"/>
      <c r="H33" s="220" t="str">
        <f>'Sector Skills'!B35</f>
        <v/>
      </c>
      <c r="I33" s="262"/>
      <c r="J33" s="262"/>
      <c r="K33" s="228"/>
      <c r="L33" s="1"/>
      <c r="M33" s="220" t="str">
        <f>'Sector Skills'!G35</f>
        <v/>
      </c>
      <c r="N33" s="262"/>
      <c r="O33" s="262"/>
      <c r="P33" s="228"/>
      <c r="Q33" s="194"/>
      <c r="R33" s="220" t="str">
        <f>'Sector Skills'!L35</f>
        <v/>
      </c>
      <c r="S33" s="262"/>
      <c r="T33" s="262"/>
      <c r="U33" s="228"/>
      <c r="V33" s="194"/>
      <c r="W33" s="220" t="str">
        <f>'Sector Skills'!Q35</f>
        <v/>
      </c>
      <c r="X33" s="262"/>
      <c r="Y33" s="262"/>
      <c r="Z33" s="228"/>
      <c r="AA33" s="116"/>
      <c r="AB33" s="116"/>
      <c r="AC33" s="116"/>
      <c r="AD33" s="116"/>
      <c r="AE33" s="116"/>
      <c r="AF33" s="116"/>
      <c r="AG33" s="108"/>
      <c r="AH33" s="108"/>
      <c r="AI33" s="108"/>
      <c r="AJ33" s="115">
        <f t="shared" si="2"/>
        <v>0</v>
      </c>
      <c r="AK33" s="115">
        <f t="shared" si="3"/>
        <v>0</v>
      </c>
      <c r="AL33" s="108"/>
      <c r="AM33" s="108"/>
      <c r="AN33" s="108"/>
      <c r="AO33" s="108"/>
      <c r="AP33" s="108"/>
      <c r="AQ33" s="108"/>
      <c r="AR33" s="110"/>
      <c r="AS33" s="108"/>
      <c r="AT33" s="108"/>
      <c r="AU33" s="114"/>
      <c r="AV33" s="114"/>
      <c r="AW33" s="172"/>
      <c r="AX33" s="184"/>
      <c r="AY33" s="185"/>
    </row>
    <row r="34" spans="1:51" ht="15" customHeight="1" x14ac:dyDescent="0.35">
      <c r="A34" s="107"/>
      <c r="B34" s="267">
        <f xml:space="preserve"> ('Cambs Appliances'!Q7)</f>
        <v>0</v>
      </c>
      <c r="C34" s="267"/>
      <c r="D34" s="199">
        <f>COUNTA('Cambs Appliances'!R9:S14)</f>
        <v>0</v>
      </c>
      <c r="E34" s="200">
        <f xml:space="preserve"> ('Cambs Appliances'!T8)</f>
        <v>0</v>
      </c>
      <c r="F34" s="198"/>
      <c r="G34" s="108"/>
      <c r="H34" s="220" t="str">
        <f>'Sector Skills'!B36</f>
        <v/>
      </c>
      <c r="I34" s="262"/>
      <c r="J34" s="262"/>
      <c r="K34" s="228"/>
      <c r="L34" s="1"/>
      <c r="M34" s="220" t="str">
        <f>'Sector Skills'!G36</f>
        <v/>
      </c>
      <c r="N34" s="262"/>
      <c r="O34" s="262"/>
      <c r="P34" s="228"/>
      <c r="Q34" s="194"/>
      <c r="R34" s="220" t="str">
        <f>'Sector Skills'!L36</f>
        <v/>
      </c>
      <c r="S34" s="262"/>
      <c r="T34" s="262"/>
      <c r="U34" s="228"/>
      <c r="V34" s="194"/>
      <c r="W34" s="220" t="str">
        <f>'Sector Skills'!Q36</f>
        <v/>
      </c>
      <c r="X34" s="262"/>
      <c r="Y34" s="262"/>
      <c r="Z34" s="228"/>
      <c r="AA34" s="110"/>
      <c r="AB34" s="110"/>
      <c r="AC34" s="110"/>
      <c r="AD34" s="110"/>
      <c r="AE34" s="110"/>
      <c r="AF34" s="110"/>
      <c r="AG34" s="108"/>
      <c r="AH34" s="108"/>
      <c r="AI34" s="108"/>
      <c r="AJ34" s="115">
        <f t="shared" si="2"/>
        <v>0</v>
      </c>
      <c r="AK34" s="115">
        <f t="shared" si="3"/>
        <v>0</v>
      </c>
      <c r="AL34" s="108"/>
      <c r="AM34" s="108"/>
      <c r="AN34" s="108"/>
      <c r="AO34" s="108"/>
      <c r="AP34" s="108"/>
      <c r="AQ34" s="108"/>
      <c r="AR34" s="108"/>
      <c r="AS34" s="108"/>
      <c r="AT34" s="108"/>
      <c r="AU34" s="114"/>
      <c r="AV34" s="114"/>
      <c r="AW34" s="172"/>
      <c r="AX34" s="184"/>
      <c r="AY34" s="185"/>
    </row>
    <row r="35" spans="1:51" ht="15" customHeight="1" x14ac:dyDescent="0.35">
      <c r="A35" s="107"/>
      <c r="B35" s="267">
        <f xml:space="preserve"> ('Cambs Appliances'!Q17)</f>
        <v>0</v>
      </c>
      <c r="C35" s="267"/>
      <c r="D35" s="199">
        <f>COUNTA('Cambs Appliances'!R19:S24)</f>
        <v>0</v>
      </c>
      <c r="E35" s="200">
        <f xml:space="preserve"> ('Cambs Appliances'!T18)</f>
        <v>0</v>
      </c>
      <c r="F35" s="198"/>
      <c r="G35" s="108"/>
      <c r="H35" s="220" t="str">
        <f>'Sector Skills'!B37</f>
        <v/>
      </c>
      <c r="I35" s="262"/>
      <c r="J35" s="262"/>
      <c r="K35" s="228"/>
      <c r="L35" s="1"/>
      <c r="M35" s="220" t="str">
        <f>'Sector Skills'!G37</f>
        <v/>
      </c>
      <c r="N35" s="262"/>
      <c r="O35" s="262"/>
      <c r="P35" s="228"/>
      <c r="Q35" s="194"/>
      <c r="R35" s="220" t="str">
        <f>'Sector Skills'!L37</f>
        <v/>
      </c>
      <c r="S35" s="262"/>
      <c r="T35" s="262"/>
      <c r="U35" s="228"/>
      <c r="V35" s="194"/>
      <c r="W35" s="220" t="str">
        <f>'Sector Skills'!Q37</f>
        <v/>
      </c>
      <c r="X35" s="262"/>
      <c r="Y35" s="262"/>
      <c r="Z35" s="228"/>
      <c r="AA35" s="108"/>
      <c r="AB35" s="108"/>
      <c r="AC35" s="108"/>
      <c r="AD35" s="108"/>
      <c r="AE35" s="108"/>
      <c r="AF35" s="108"/>
      <c r="AG35" s="108"/>
      <c r="AH35" s="108"/>
      <c r="AI35" s="108"/>
      <c r="AJ35" s="115">
        <f t="shared" si="2"/>
        <v>0</v>
      </c>
      <c r="AK35" s="115">
        <f t="shared" si="3"/>
        <v>0</v>
      </c>
      <c r="AL35" s="108"/>
      <c r="AM35" s="108"/>
      <c r="AN35" s="108"/>
      <c r="AO35" s="108"/>
      <c r="AP35" s="108"/>
      <c r="AQ35" s="108"/>
      <c r="AR35" s="108"/>
      <c r="AS35" s="108"/>
      <c r="AT35" s="108"/>
      <c r="AU35" s="114"/>
      <c r="AV35" s="114"/>
      <c r="AW35" s="172"/>
      <c r="AX35" s="184"/>
      <c r="AY35" s="185"/>
    </row>
    <row r="36" spans="1:51" ht="15" customHeight="1" x14ac:dyDescent="0.35">
      <c r="A36" s="107"/>
      <c r="B36" s="267">
        <f xml:space="preserve"> ('Cambs Appliances'!Q27)</f>
        <v>0</v>
      </c>
      <c r="C36" s="267"/>
      <c r="D36" s="199">
        <f>COUNTA('Cambs Appliances'!R29:S34)</f>
        <v>0</v>
      </c>
      <c r="E36" s="200">
        <f xml:space="preserve"> ('Cambs Appliances'!T28)</f>
        <v>0</v>
      </c>
      <c r="F36" s="198"/>
      <c r="G36" s="108"/>
      <c r="H36" s="220" t="str">
        <f>'Sector Skills'!B38</f>
        <v/>
      </c>
      <c r="I36" s="262"/>
      <c r="J36" s="262"/>
      <c r="K36" s="228"/>
      <c r="L36" s="1"/>
      <c r="M36" s="220" t="str">
        <f>'Sector Skills'!G38</f>
        <v/>
      </c>
      <c r="N36" s="262"/>
      <c r="O36" s="262"/>
      <c r="P36" s="228"/>
      <c r="Q36" s="194"/>
      <c r="R36" s="220" t="str">
        <f>'Sector Skills'!L38</f>
        <v/>
      </c>
      <c r="S36" s="262"/>
      <c r="T36" s="262"/>
      <c r="U36" s="228"/>
      <c r="V36" s="194"/>
      <c r="W36" s="220" t="str">
        <f>'Sector Skills'!Q38</f>
        <v/>
      </c>
      <c r="X36" s="262"/>
      <c r="Y36" s="262"/>
      <c r="Z36" s="228"/>
      <c r="AA36" s="108"/>
      <c r="AB36" s="108"/>
      <c r="AC36" s="108"/>
      <c r="AD36" s="108"/>
      <c r="AE36" s="108"/>
      <c r="AF36" s="108"/>
      <c r="AG36" s="108"/>
      <c r="AH36" s="108"/>
      <c r="AI36" s="108"/>
      <c r="AJ36" s="115">
        <f t="shared" si="2"/>
        <v>0</v>
      </c>
      <c r="AK36" s="115">
        <f t="shared" si="3"/>
        <v>0</v>
      </c>
      <c r="AL36" s="108"/>
      <c r="AM36" s="108"/>
      <c r="AN36" s="108"/>
      <c r="AO36" s="108"/>
      <c r="AP36" s="108"/>
      <c r="AQ36" s="108"/>
      <c r="AR36" s="108"/>
      <c r="AS36" s="108"/>
      <c r="AT36" s="108"/>
      <c r="AU36" s="4"/>
      <c r="AV36" s="4"/>
      <c r="AW36" s="4"/>
    </row>
    <row r="37" spans="1:51" ht="15" customHeight="1" x14ac:dyDescent="0.35">
      <c r="A37" s="107"/>
      <c r="B37" s="267">
        <f xml:space="preserve"> ('Cambs Appliances'!Q37)</f>
        <v>0</v>
      </c>
      <c r="C37" s="267"/>
      <c r="D37" s="199">
        <f>COUNTA('Cambs Appliances'!R39:S44)</f>
        <v>0</v>
      </c>
      <c r="E37" s="200">
        <f xml:space="preserve"> ('Cambs Appliances'!T38)</f>
        <v>0</v>
      </c>
      <c r="F37" s="198"/>
      <c r="G37" s="108"/>
      <c r="H37" s="220" t="str">
        <f>'Sector Skills'!B39</f>
        <v/>
      </c>
      <c r="I37" s="262"/>
      <c r="J37" s="262"/>
      <c r="K37" s="228"/>
      <c r="L37" s="1"/>
      <c r="M37" s="220" t="str">
        <f>'Sector Skills'!G39</f>
        <v/>
      </c>
      <c r="N37" s="262"/>
      <c r="O37" s="262"/>
      <c r="P37" s="228"/>
      <c r="Q37" s="194"/>
      <c r="R37" s="220" t="str">
        <f>'Sector Skills'!L39</f>
        <v/>
      </c>
      <c r="S37" s="262"/>
      <c r="T37" s="262"/>
      <c r="U37" s="228"/>
      <c r="V37" s="194"/>
      <c r="W37" s="220" t="str">
        <f>'Sector Skills'!Q39</f>
        <v/>
      </c>
      <c r="X37" s="262"/>
      <c r="Y37" s="262"/>
      <c r="Z37" s="228"/>
      <c r="AA37" s="108"/>
      <c r="AB37" s="108"/>
      <c r="AC37" s="108"/>
      <c r="AD37" s="108"/>
      <c r="AE37" s="108"/>
      <c r="AF37" s="108"/>
      <c r="AG37" s="108"/>
      <c r="AH37" s="108"/>
      <c r="AI37" s="108"/>
      <c r="AJ37" s="115">
        <f t="shared" si="2"/>
        <v>0</v>
      </c>
      <c r="AK37" s="115">
        <f t="shared" si="3"/>
        <v>0</v>
      </c>
      <c r="AL37" s="108"/>
      <c r="AM37" s="108"/>
      <c r="AN37" s="108"/>
      <c r="AO37" s="108"/>
      <c r="AP37" s="108"/>
      <c r="AQ37" s="108"/>
      <c r="AR37" s="108"/>
      <c r="AS37" s="108"/>
      <c r="AT37" s="108"/>
      <c r="AU37" s="4"/>
      <c r="AV37" s="4"/>
      <c r="AW37" s="4"/>
    </row>
    <row r="38" spans="1:51" ht="15" customHeight="1" x14ac:dyDescent="0.35">
      <c r="A38" s="107"/>
      <c r="B38" s="268">
        <f xml:space="preserve"> ('Cambs Appliances'!Q47)</f>
        <v>0</v>
      </c>
      <c r="C38" s="268"/>
      <c r="D38" s="201">
        <f>COUNTA('Cambs Appliances'!R49:S54)</f>
        <v>0</v>
      </c>
      <c r="E38" s="202">
        <f xml:space="preserve"> ('Cambs Appliances'!T48)</f>
        <v>0</v>
      </c>
      <c r="F38" s="198"/>
      <c r="G38" s="108"/>
      <c r="H38" s="220" t="str">
        <f>'Sector Skills'!B40</f>
        <v/>
      </c>
      <c r="I38" s="262"/>
      <c r="J38" s="262"/>
      <c r="K38" s="228"/>
      <c r="L38" s="1"/>
      <c r="M38" s="220" t="str">
        <f>'Sector Skills'!G40</f>
        <v/>
      </c>
      <c r="N38" s="262"/>
      <c r="O38" s="262"/>
      <c r="P38" s="228"/>
      <c r="Q38" s="194"/>
      <c r="R38" s="220" t="str">
        <f>'Sector Skills'!L40</f>
        <v/>
      </c>
      <c r="S38" s="262"/>
      <c r="T38" s="262"/>
      <c r="U38" s="228"/>
      <c r="V38" s="194"/>
      <c r="W38" s="220" t="str">
        <f>'Sector Skills'!Q40</f>
        <v/>
      </c>
      <c r="X38" s="262"/>
      <c r="Y38" s="262"/>
      <c r="Z38" s="228"/>
      <c r="AA38" s="108"/>
      <c r="AB38" s="108"/>
      <c r="AC38" s="108"/>
      <c r="AD38" s="108"/>
      <c r="AE38" s="108"/>
      <c r="AF38" s="108"/>
      <c r="AG38" s="108"/>
      <c r="AH38" s="108"/>
      <c r="AI38" s="108"/>
      <c r="AJ38" s="115">
        <f t="shared" si="2"/>
        <v>0</v>
      </c>
      <c r="AK38" s="115">
        <f t="shared" si="3"/>
        <v>0</v>
      </c>
      <c r="AL38" s="108"/>
      <c r="AM38" s="108"/>
      <c r="AN38" s="108"/>
      <c r="AO38" s="108"/>
      <c r="AP38" s="108"/>
      <c r="AQ38" s="108"/>
      <c r="AR38" s="108"/>
      <c r="AS38" s="108"/>
      <c r="AT38" s="108"/>
      <c r="AU38" s="4"/>
      <c r="AV38" s="4"/>
      <c r="AW38" s="4"/>
    </row>
    <row r="39" spans="1:51" ht="14.4" customHeight="1" x14ac:dyDescent="0.35">
      <c r="A39" s="107"/>
      <c r="B39" s="272"/>
      <c r="C39" s="272"/>
      <c r="D39" s="107"/>
      <c r="E39" s="117"/>
      <c r="F39" s="117"/>
      <c r="G39" s="108"/>
      <c r="H39" s="220" t="str">
        <f>'Sector Skills'!B41</f>
        <v/>
      </c>
      <c r="I39" s="262"/>
      <c r="J39" s="262"/>
      <c r="K39" s="228"/>
      <c r="L39" s="1"/>
      <c r="M39" s="220" t="str">
        <f>'Sector Skills'!G41</f>
        <v/>
      </c>
      <c r="N39" s="262"/>
      <c r="O39" s="262"/>
      <c r="P39" s="228"/>
      <c r="Q39" s="194"/>
      <c r="R39" s="220" t="str">
        <f>'Sector Skills'!L41</f>
        <v/>
      </c>
      <c r="S39" s="262"/>
      <c r="T39" s="262"/>
      <c r="U39" s="228"/>
      <c r="V39" s="194"/>
      <c r="W39" s="220" t="str">
        <f>'Sector Skills'!Q41</f>
        <v/>
      </c>
      <c r="X39" s="262"/>
      <c r="Y39" s="262"/>
      <c r="Z39" s="228"/>
      <c r="AA39" s="108"/>
      <c r="AB39" s="108"/>
      <c r="AC39" s="108"/>
      <c r="AD39" s="108"/>
      <c r="AE39" s="108"/>
      <c r="AF39" s="108"/>
      <c r="AG39" s="108"/>
      <c r="AH39" s="108"/>
      <c r="AI39" s="108"/>
      <c r="AJ39" s="115">
        <f t="shared" si="2"/>
        <v>0</v>
      </c>
      <c r="AK39" s="115">
        <f t="shared" si="3"/>
        <v>0</v>
      </c>
      <c r="AL39" s="108"/>
      <c r="AM39" s="108"/>
      <c r="AN39" s="108"/>
      <c r="AO39" s="108"/>
      <c r="AP39" s="108"/>
      <c r="AQ39" s="108"/>
      <c r="AR39" s="108"/>
      <c r="AS39" s="108"/>
      <c r="AT39" s="108"/>
      <c r="AU39" s="4"/>
      <c r="AV39" s="4"/>
      <c r="AW39" s="4"/>
    </row>
    <row r="40" spans="1:51" ht="14.4" customHeight="1" x14ac:dyDescent="0.35">
      <c r="A40" s="107"/>
      <c r="B40" s="271" t="s">
        <v>453</v>
      </c>
      <c r="C40" s="271"/>
      <c r="D40" s="271"/>
      <c r="E40" s="271"/>
      <c r="F40" s="271"/>
      <c r="G40" s="108"/>
      <c r="H40" s="220" t="str">
        <f>'Sector Skills'!B42</f>
        <v/>
      </c>
      <c r="I40" s="262"/>
      <c r="J40" s="262"/>
      <c r="K40" s="228"/>
      <c r="L40" s="1"/>
      <c r="M40" s="220" t="str">
        <f>'Sector Skills'!G42</f>
        <v/>
      </c>
      <c r="N40" s="262"/>
      <c r="O40" s="262"/>
      <c r="P40" s="228"/>
      <c r="Q40" s="194"/>
      <c r="R40" s="220" t="str">
        <f>'Sector Skills'!L42</f>
        <v/>
      </c>
      <c r="S40" s="262"/>
      <c r="T40" s="262"/>
      <c r="U40" s="228"/>
      <c r="V40" s="194"/>
      <c r="W40" s="220" t="str">
        <f>'Sector Skills'!Q42</f>
        <v/>
      </c>
      <c r="X40" s="262"/>
      <c r="Y40" s="262"/>
      <c r="Z40" s="228"/>
      <c r="AA40" s="108"/>
      <c r="AB40" s="108"/>
      <c r="AC40" s="108"/>
      <c r="AD40" s="108"/>
      <c r="AE40" s="108"/>
      <c r="AF40" s="108"/>
      <c r="AG40" s="108"/>
      <c r="AH40" s="108"/>
      <c r="AI40" s="108"/>
      <c r="AJ40" s="115">
        <f t="shared" si="2"/>
        <v>0</v>
      </c>
      <c r="AK40" s="115">
        <f t="shared" si="3"/>
        <v>0</v>
      </c>
      <c r="AL40" s="108"/>
      <c r="AM40" s="108"/>
      <c r="AN40" s="108"/>
      <c r="AO40" s="108"/>
      <c r="AP40" s="108"/>
      <c r="AQ40" s="108"/>
      <c r="AR40" s="108"/>
      <c r="AS40" s="108"/>
      <c r="AT40" s="108"/>
      <c r="AU40" s="4"/>
      <c r="AV40" s="4"/>
      <c r="AW40" s="4"/>
    </row>
    <row r="41" spans="1:51" ht="15" customHeight="1" x14ac:dyDescent="0.35">
      <c r="A41" s="107"/>
      <c r="B41" s="272"/>
      <c r="C41" s="272"/>
      <c r="D41" s="107"/>
      <c r="E41" s="117"/>
      <c r="F41" s="117"/>
      <c r="G41" s="108"/>
      <c r="H41" s="220" t="str">
        <f>'Sector Skills'!B43</f>
        <v/>
      </c>
      <c r="I41" s="262"/>
      <c r="J41" s="262"/>
      <c r="K41" s="228"/>
      <c r="L41" s="1"/>
      <c r="M41" s="220" t="str">
        <f>'Sector Skills'!G43</f>
        <v/>
      </c>
      <c r="N41" s="262"/>
      <c r="O41" s="262"/>
      <c r="P41" s="228"/>
      <c r="Q41" s="194"/>
      <c r="R41" s="220" t="str">
        <f>'Sector Skills'!L43</f>
        <v/>
      </c>
      <c r="S41" s="262"/>
      <c r="T41" s="262"/>
      <c r="U41" s="228"/>
      <c r="V41" s="194"/>
      <c r="W41" s="220" t="str">
        <f>'Sector Skills'!Q43</f>
        <v/>
      </c>
      <c r="X41" s="262"/>
      <c r="Y41" s="262"/>
      <c r="Z41" s="228"/>
      <c r="AA41" s="108"/>
      <c r="AB41" s="108"/>
      <c r="AC41" s="108"/>
      <c r="AD41" s="108"/>
      <c r="AE41" s="108"/>
      <c r="AF41" s="108"/>
      <c r="AG41" s="108"/>
      <c r="AH41" s="108"/>
      <c r="AI41" s="108"/>
      <c r="AJ41" s="115">
        <f t="shared" si="2"/>
        <v>0</v>
      </c>
      <c r="AK41" s="115">
        <f t="shared" si="3"/>
        <v>0</v>
      </c>
      <c r="AL41" s="108"/>
      <c r="AM41" s="108"/>
      <c r="AN41" s="108"/>
      <c r="AO41" s="108"/>
      <c r="AP41" s="108"/>
      <c r="AQ41" s="108"/>
      <c r="AR41" s="108"/>
      <c r="AS41" s="108"/>
      <c r="AT41" s="108"/>
      <c r="AU41" s="4"/>
      <c r="AV41" s="4"/>
      <c r="AW41" s="4"/>
    </row>
    <row r="42" spans="1:51" ht="15" customHeight="1" x14ac:dyDescent="0.35">
      <c r="A42" s="5"/>
      <c r="B42" s="270">
        <f xml:space="preserve"> ('Cambs Appliances'!C60)</f>
        <v>0</v>
      </c>
      <c r="C42" s="270"/>
      <c r="D42" s="252">
        <f>COUNTA('Cambs Appliances'!D62:E67)</f>
        <v>0</v>
      </c>
      <c r="E42" s="197">
        <f xml:space="preserve"> ('Cambs Appliances'!F61)</f>
        <v>0</v>
      </c>
      <c r="F42" s="198"/>
      <c r="G42" s="4"/>
      <c r="H42" s="220" t="str">
        <f>'Sector Skills'!B44</f>
        <v/>
      </c>
      <c r="I42" s="263"/>
      <c r="J42" s="263"/>
      <c r="K42" s="226"/>
      <c r="L42" s="1"/>
      <c r="M42" s="220" t="str">
        <f>'Sector Skills'!G44</f>
        <v/>
      </c>
      <c r="N42" s="263"/>
      <c r="O42" s="263"/>
      <c r="P42" s="226"/>
      <c r="Q42" s="194"/>
      <c r="R42" s="220" t="str">
        <f>'Sector Skills'!L44</f>
        <v/>
      </c>
      <c r="S42" s="263"/>
      <c r="T42" s="263"/>
      <c r="U42" s="226"/>
      <c r="V42" s="194"/>
      <c r="W42" s="220" t="str">
        <f>'Sector Skills'!Q44</f>
        <v/>
      </c>
      <c r="X42" s="263"/>
      <c r="Y42" s="263"/>
      <c r="Z42" s="226"/>
      <c r="AF42" s="4"/>
      <c r="AG42" s="4"/>
      <c r="AH42" s="4"/>
      <c r="AI42" s="4"/>
      <c r="AJ42" s="4"/>
      <c r="AK42" s="3">
        <f>SUM(AK27:AK41)</f>
        <v>0</v>
      </c>
      <c r="AL42" s="4"/>
      <c r="AM42" s="4"/>
      <c r="AN42" s="4"/>
      <c r="AO42" s="80"/>
      <c r="AP42" s="87">
        <f>('Formula to Hide'!V16)</f>
        <v>0</v>
      </c>
      <c r="AQ42" s="4"/>
      <c r="AR42" s="4"/>
      <c r="AS42" s="4"/>
      <c r="AT42" s="4"/>
      <c r="AU42" s="4"/>
      <c r="AV42" s="4"/>
      <c r="AW42" s="4"/>
    </row>
    <row r="43" spans="1:51" ht="15" customHeight="1" x14ac:dyDescent="0.35">
      <c r="A43" s="5"/>
      <c r="B43" s="270">
        <f xml:space="preserve"> ('Cambs Appliances'!C70)</f>
        <v>0</v>
      </c>
      <c r="C43" s="270"/>
      <c r="D43" s="252">
        <f>COUNTA('Cambs Appliances'!D72:E77)</f>
        <v>0</v>
      </c>
      <c r="E43" s="197">
        <f xml:space="preserve"> ('Cambs Appliances'!F71)</f>
        <v>0</v>
      </c>
      <c r="F43" s="198"/>
      <c r="G43" s="4"/>
      <c r="H43" s="220" t="str">
        <f>'Sector Skills'!B45</f>
        <v/>
      </c>
      <c r="I43" s="263"/>
      <c r="J43" s="263"/>
      <c r="K43" s="226"/>
      <c r="L43" s="1"/>
      <c r="M43" s="220" t="str">
        <f>'Sector Skills'!G45</f>
        <v/>
      </c>
      <c r="N43" s="263"/>
      <c r="O43" s="263"/>
      <c r="P43" s="226"/>
      <c r="Q43" s="194"/>
      <c r="R43" s="220" t="str">
        <f>'Sector Skills'!L45</f>
        <v/>
      </c>
      <c r="S43" s="263"/>
      <c r="T43" s="263"/>
      <c r="U43" s="226"/>
      <c r="V43" s="194"/>
      <c r="W43" s="220" t="str">
        <f>'Sector Skills'!Q45</f>
        <v/>
      </c>
      <c r="X43" s="263"/>
      <c r="Y43" s="263"/>
      <c r="Z43" s="226"/>
      <c r="AF43" s="4"/>
      <c r="AG43" s="4"/>
      <c r="AH43" s="4" t="s">
        <v>213</v>
      </c>
      <c r="AI43" s="4" t="s">
        <v>214</v>
      </c>
      <c r="AJ43" s="33">
        <f>COUNTA(Officers!H10)</f>
        <v>0</v>
      </c>
      <c r="AK43" s="4"/>
      <c r="AL43" s="4"/>
      <c r="AM43" s="4"/>
      <c r="AN43" s="4"/>
      <c r="AO43" s="78"/>
      <c r="AP43" s="78"/>
      <c r="AQ43" s="4"/>
      <c r="AR43" s="4"/>
      <c r="AS43" s="4"/>
      <c r="AT43" s="4"/>
      <c r="AU43" s="4"/>
      <c r="AV43" s="4"/>
      <c r="AW43" s="4"/>
    </row>
    <row r="44" spans="1:51" ht="15" customHeight="1" x14ac:dyDescent="0.35">
      <c r="A44" s="5"/>
      <c r="B44" s="270">
        <f xml:space="preserve"> ('Cambs Appliances'!C80)</f>
        <v>0</v>
      </c>
      <c r="C44" s="270"/>
      <c r="D44" s="252">
        <f>COUNTA('Cambs Appliances'!D82:E87)</f>
        <v>0</v>
      </c>
      <c r="E44" s="197">
        <f xml:space="preserve"> ('Cambs Appliances'!F81)</f>
        <v>0</v>
      </c>
      <c r="F44" s="198"/>
      <c r="G44" s="4"/>
      <c r="H44" s="220" t="str">
        <f>'Sector Skills'!B46</f>
        <v/>
      </c>
      <c r="I44" s="263"/>
      <c r="J44" s="263"/>
      <c r="K44" s="226"/>
      <c r="L44" s="1"/>
      <c r="M44" s="220" t="str">
        <f>'Sector Skills'!G46</f>
        <v/>
      </c>
      <c r="N44" s="263"/>
      <c r="O44" s="263"/>
      <c r="P44" s="226"/>
      <c r="Q44" s="194"/>
      <c r="R44" s="220" t="str">
        <f>'Sector Skills'!L46</f>
        <v/>
      </c>
      <c r="S44" s="263"/>
      <c r="T44" s="263"/>
      <c r="U44" s="226"/>
      <c r="V44" s="194"/>
      <c r="W44" s="220" t="str">
        <f>'Sector Skills'!Q46</f>
        <v/>
      </c>
      <c r="X44" s="263"/>
      <c r="Y44" s="263"/>
      <c r="Z44" s="226"/>
      <c r="AF44" s="4"/>
      <c r="AG44" s="4"/>
      <c r="AH44" s="4"/>
      <c r="AI44" s="4"/>
      <c r="AJ44" s="33">
        <f>COUNTA(Officers!H11)</f>
        <v>0</v>
      </c>
      <c r="AK44" s="4"/>
      <c r="AL44" s="4"/>
      <c r="AM44" s="4"/>
      <c r="AN44" s="4"/>
      <c r="AO44" s="78"/>
      <c r="AP44" s="78"/>
      <c r="AQ44" s="4"/>
      <c r="AR44" s="4"/>
      <c r="AS44" s="4"/>
      <c r="AT44" s="4"/>
      <c r="AU44" s="4"/>
      <c r="AV44" s="4"/>
      <c r="AW44" s="4"/>
    </row>
    <row r="45" spans="1:51" ht="15" customHeight="1" x14ac:dyDescent="0.35">
      <c r="A45" s="5"/>
      <c r="B45" s="270">
        <f xml:space="preserve"> ('Cambs Appliances'!C90)</f>
        <v>0</v>
      </c>
      <c r="C45" s="270"/>
      <c r="D45" s="196">
        <f>COUNTA('Cambs Appliances'!D92:E97)</f>
        <v>0</v>
      </c>
      <c r="E45" s="197">
        <f xml:space="preserve"> ('Cambs Appliances'!F91)</f>
        <v>0</v>
      </c>
      <c r="F45" s="198"/>
      <c r="G45" s="4"/>
      <c r="H45" s="219"/>
      <c r="I45" s="264"/>
      <c r="J45" s="264"/>
      <c r="K45" s="226"/>
      <c r="L45" s="55"/>
      <c r="M45" s="219"/>
      <c r="N45" s="264"/>
      <c r="O45" s="264"/>
      <c r="P45" s="226"/>
      <c r="Q45" s="194"/>
      <c r="R45" s="219"/>
      <c r="S45" s="264"/>
      <c r="T45" s="264"/>
      <c r="U45" s="226"/>
      <c r="V45" s="194"/>
      <c r="W45" s="219"/>
      <c r="X45" s="264"/>
      <c r="Y45" s="264"/>
      <c r="Z45" s="226"/>
      <c r="AF45" s="4"/>
      <c r="AG45" s="4"/>
      <c r="AH45" s="4"/>
      <c r="AI45" s="4"/>
      <c r="AJ45" s="33">
        <f>COUNTA(Officers!H12)</f>
        <v>0</v>
      </c>
      <c r="AK45" s="4"/>
      <c r="AL45" s="4"/>
      <c r="AM45" s="4"/>
      <c r="AN45" s="4"/>
      <c r="AO45" s="78"/>
      <c r="AP45" s="78"/>
      <c r="AQ45" s="4"/>
      <c r="AR45" s="4"/>
      <c r="AS45" s="4"/>
      <c r="AT45" s="4"/>
      <c r="AU45" s="4"/>
      <c r="AV45" s="4"/>
      <c r="AW45" s="4"/>
    </row>
    <row r="46" spans="1:51" ht="14.4" customHeight="1" x14ac:dyDescent="0.35">
      <c r="A46" s="5"/>
      <c r="B46" s="270">
        <f xml:space="preserve"> ('Cambs Appliances'!C100)</f>
        <v>0</v>
      </c>
      <c r="C46" s="270"/>
      <c r="D46" s="196">
        <f>COUNTA('Cambs Appliances'!D102:E107)</f>
        <v>0</v>
      </c>
      <c r="E46" s="197">
        <f xml:space="preserve"> ('Cambs Appliances'!F101)</f>
        <v>0</v>
      </c>
      <c r="F46" s="198"/>
      <c r="G46" s="4"/>
      <c r="H46" s="269"/>
      <c r="I46" s="269"/>
      <c r="J46" s="269"/>
      <c r="K46" s="269"/>
      <c r="L46" s="55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4"/>
      <c r="AF46" s="4"/>
      <c r="AG46" s="4"/>
      <c r="AH46" s="4"/>
      <c r="AI46" s="4"/>
      <c r="AJ46" s="33">
        <f>COUNTA(Officers!H13)</f>
        <v>0</v>
      </c>
      <c r="AK46" s="4"/>
      <c r="AL46" s="4"/>
      <c r="AM46" s="4"/>
      <c r="AN46" s="4"/>
      <c r="AO46" s="78"/>
      <c r="AP46" s="78"/>
      <c r="AQ46" s="4"/>
      <c r="AR46" s="4"/>
      <c r="AS46" s="4"/>
      <c r="AT46" s="4"/>
      <c r="AU46" s="4"/>
      <c r="AV46" s="4"/>
      <c r="AW46" s="4"/>
    </row>
    <row r="47" spans="1:51" x14ac:dyDescent="0.3">
      <c r="A47" s="5"/>
      <c r="B47" s="270">
        <f xml:space="preserve"> ('Cambs Appliances'!J60)</f>
        <v>0</v>
      </c>
      <c r="C47" s="270"/>
      <c r="D47" s="252">
        <f>COUNTA('Cambs Appliances'!K62:L67)</f>
        <v>0</v>
      </c>
      <c r="E47" s="197">
        <f xml:space="preserve"> ('Cambs Appliances'!M61)</f>
        <v>0</v>
      </c>
      <c r="F47" s="198"/>
      <c r="G47" s="4"/>
      <c r="H47" s="269"/>
      <c r="I47" s="269"/>
      <c r="J47" s="269"/>
      <c r="K47" s="269"/>
      <c r="L47" s="55"/>
      <c r="M47" s="266"/>
      <c r="N47" s="266"/>
      <c r="O47" s="266"/>
      <c r="P47" s="266"/>
      <c r="Q47" s="4"/>
      <c r="R47" s="5"/>
      <c r="S47" s="5"/>
      <c r="T47" s="5"/>
      <c r="U47" s="5"/>
      <c r="V47" s="78"/>
      <c r="W47" s="4"/>
      <c r="X47" s="4"/>
      <c r="Y47" s="4"/>
      <c r="AF47" s="4"/>
      <c r="AG47" s="4"/>
      <c r="AH47" s="4"/>
      <c r="AI47" s="4"/>
      <c r="AJ47" s="33">
        <f>COUNTA(Officers!H14)</f>
        <v>0</v>
      </c>
      <c r="AK47" s="4"/>
      <c r="AL47" s="4"/>
      <c r="AM47" s="4"/>
      <c r="AN47" s="4"/>
      <c r="AO47" s="78"/>
      <c r="AP47" s="78"/>
      <c r="AQ47" s="4"/>
      <c r="AR47" s="4"/>
      <c r="AS47" s="4"/>
      <c r="AT47" s="4"/>
      <c r="AU47" s="4"/>
      <c r="AV47" s="4"/>
      <c r="AW47" s="4"/>
    </row>
    <row r="48" spans="1:51" x14ac:dyDescent="0.3">
      <c r="A48" s="5"/>
      <c r="B48" s="270">
        <f xml:space="preserve"> ('Cambs Appliances'!J70)</f>
        <v>0</v>
      </c>
      <c r="C48" s="270"/>
      <c r="D48" s="252">
        <f>COUNTA('Cambs Appliances'!K72:L77)</f>
        <v>0</v>
      </c>
      <c r="E48" s="197">
        <f xml:space="preserve"> ('Cambs Appliances'!M71)</f>
        <v>0</v>
      </c>
      <c r="F48" s="198"/>
      <c r="G48" s="4"/>
      <c r="H48" s="269"/>
      <c r="I48" s="269"/>
      <c r="J48" s="269"/>
      <c r="K48" s="269"/>
      <c r="L48" s="55"/>
      <c r="M48" s="266"/>
      <c r="N48" s="266"/>
      <c r="O48" s="266"/>
      <c r="P48" s="266"/>
      <c r="Q48" s="4"/>
      <c r="R48" s="5"/>
      <c r="S48" s="5"/>
      <c r="T48" s="5"/>
      <c r="U48" s="5"/>
      <c r="V48" s="5"/>
      <c r="W48" s="4"/>
      <c r="X48" s="4"/>
      <c r="Y48" s="4"/>
      <c r="AF48" s="4"/>
      <c r="AG48" s="4"/>
      <c r="AH48" s="4"/>
      <c r="AI48" s="4"/>
      <c r="AJ48" s="33">
        <f>COUNTA(Officers!H15)</f>
        <v>0</v>
      </c>
      <c r="AK48" s="4"/>
      <c r="AL48" s="4"/>
      <c r="AM48" s="4"/>
      <c r="AN48" s="4"/>
      <c r="AO48" s="78"/>
      <c r="AP48" s="78"/>
      <c r="AQ48" s="4"/>
      <c r="AR48" s="4"/>
      <c r="AS48" s="4"/>
      <c r="AT48" s="4"/>
      <c r="AU48" s="4"/>
      <c r="AV48" s="4"/>
      <c r="AW48" s="4"/>
    </row>
    <row r="49" spans="1:49" x14ac:dyDescent="0.3">
      <c r="A49" s="5"/>
      <c r="B49" s="270">
        <f xml:space="preserve"> ('Cambs Appliances'!J80)</f>
        <v>0</v>
      </c>
      <c r="C49" s="270"/>
      <c r="D49" s="252">
        <f>COUNTA('Cambs Appliances'!K82:L87)</f>
        <v>0</v>
      </c>
      <c r="E49" s="197">
        <f xml:space="preserve"> ('Cambs Appliances'!M81)</f>
        <v>0</v>
      </c>
      <c r="F49" s="198"/>
      <c r="G49" s="4"/>
      <c r="H49" s="269"/>
      <c r="I49" s="269"/>
      <c r="J49" s="269"/>
      <c r="K49" s="269"/>
      <c r="L49" s="55"/>
      <c r="M49" s="266"/>
      <c r="N49" s="266"/>
      <c r="O49" s="266"/>
      <c r="P49" s="266"/>
      <c r="Q49" s="4"/>
      <c r="R49" s="5"/>
      <c r="S49" s="5"/>
      <c r="T49" s="5"/>
      <c r="U49" s="5"/>
      <c r="V49" s="5"/>
      <c r="W49" s="4"/>
      <c r="X49" s="4"/>
      <c r="Y49" s="4"/>
      <c r="AF49" s="4"/>
      <c r="AG49" s="4"/>
      <c r="AH49" s="4"/>
      <c r="AI49" s="4"/>
      <c r="AJ49" s="33">
        <f>COUNTA(Officers!H16)</f>
        <v>0</v>
      </c>
      <c r="AK49" s="4"/>
      <c r="AL49" s="4"/>
      <c r="AM49" s="4"/>
      <c r="AN49" s="4"/>
      <c r="AO49" s="78"/>
      <c r="AP49" s="78"/>
      <c r="AQ49" s="4"/>
      <c r="AR49" s="4"/>
      <c r="AS49" s="4"/>
      <c r="AT49" s="4"/>
      <c r="AU49" s="4"/>
      <c r="AV49" s="4"/>
      <c r="AW49" s="4"/>
    </row>
    <row r="50" spans="1:49" x14ac:dyDescent="0.3">
      <c r="A50" s="5"/>
      <c r="B50" s="270">
        <f xml:space="preserve"> ('Cambs Appliances'!J90)</f>
        <v>0</v>
      </c>
      <c r="C50" s="270"/>
      <c r="D50" s="252">
        <f>COUNTA('Cambs Appliances'!K92:L97)</f>
        <v>0</v>
      </c>
      <c r="E50" s="197">
        <f xml:space="preserve"> ('Cambs Appliances'!M91)</f>
        <v>0</v>
      </c>
      <c r="F50" s="198"/>
      <c r="G50" s="4"/>
      <c r="H50" s="269"/>
      <c r="I50" s="269"/>
      <c r="J50" s="269"/>
      <c r="K50" s="269"/>
      <c r="L50" s="55"/>
      <c r="M50" s="266"/>
      <c r="N50" s="266"/>
      <c r="O50" s="266"/>
      <c r="P50" s="266"/>
      <c r="Q50" s="4"/>
      <c r="R50" s="5"/>
      <c r="S50" s="5"/>
      <c r="T50" s="5"/>
      <c r="U50" s="5"/>
      <c r="V50" s="5"/>
      <c r="W50" s="4"/>
      <c r="X50" s="4"/>
      <c r="Y50" s="4"/>
      <c r="AF50" s="4"/>
      <c r="AG50" s="4"/>
      <c r="AH50" s="4"/>
      <c r="AI50" s="4"/>
      <c r="AJ50" s="33">
        <f>COUNTA(Officers!H17)</f>
        <v>0</v>
      </c>
      <c r="AK50" s="4"/>
      <c r="AL50" s="4"/>
      <c r="AM50" s="4"/>
      <c r="AN50" s="4"/>
      <c r="AO50" s="78"/>
      <c r="AP50" s="78"/>
      <c r="AQ50" s="4"/>
      <c r="AR50" s="4"/>
      <c r="AS50" s="4"/>
      <c r="AT50" s="4"/>
      <c r="AU50" s="4"/>
      <c r="AV50" s="4"/>
      <c r="AW50" s="4"/>
    </row>
    <row r="51" spans="1:49" x14ac:dyDescent="0.3">
      <c r="A51" s="5"/>
      <c r="B51" s="270">
        <f xml:space="preserve"> ('Cambs Appliances'!J100)</f>
        <v>0</v>
      </c>
      <c r="C51" s="270"/>
      <c r="D51" s="252">
        <f>COUNTA('Cambs Appliances'!K102:L107)</f>
        <v>0</v>
      </c>
      <c r="E51" s="197">
        <f xml:space="preserve"> ('Cambs Appliances'!M101)</f>
        <v>0</v>
      </c>
      <c r="F51" s="198"/>
      <c r="G51" s="4"/>
      <c r="H51" s="269"/>
      <c r="I51" s="269"/>
      <c r="J51" s="269"/>
      <c r="K51" s="269"/>
      <c r="L51" s="55"/>
      <c r="M51" s="266"/>
      <c r="N51" s="266"/>
      <c r="O51" s="266"/>
      <c r="P51" s="266"/>
      <c r="Q51" s="4"/>
      <c r="R51" s="5"/>
      <c r="S51" s="5"/>
      <c r="T51" s="5"/>
      <c r="U51" s="5"/>
      <c r="V51" s="5"/>
      <c r="W51" s="4"/>
      <c r="X51" s="4"/>
      <c r="Y51" s="4"/>
      <c r="AF51" s="4"/>
      <c r="AG51" s="4"/>
      <c r="AH51" s="4"/>
      <c r="AI51" s="4"/>
      <c r="AJ51" s="33">
        <f>COUNTA(Officers!H18)</f>
        <v>0</v>
      </c>
      <c r="AK51" s="4"/>
      <c r="AL51" s="4"/>
      <c r="AM51" s="4"/>
      <c r="AN51" s="4"/>
      <c r="AO51" s="78"/>
      <c r="AP51" s="78"/>
      <c r="AQ51" s="4"/>
      <c r="AR51" s="4"/>
      <c r="AS51" s="4"/>
      <c r="AT51" s="4"/>
      <c r="AU51" s="4"/>
      <c r="AV51" s="4"/>
      <c r="AW51" s="4"/>
    </row>
    <row r="52" spans="1:49" x14ac:dyDescent="0.3">
      <c r="A52" s="5"/>
      <c r="B52" s="267">
        <f xml:space="preserve"> ('Cambs Appliances'!Q60)</f>
        <v>0</v>
      </c>
      <c r="C52" s="267"/>
      <c r="D52" s="250">
        <f>COUNTA('Cambs Appliances'!R62:S67)</f>
        <v>0</v>
      </c>
      <c r="E52" s="200">
        <f xml:space="preserve"> ('Cambs Appliances'!T61)</f>
        <v>0</v>
      </c>
      <c r="F52" s="198"/>
      <c r="G52" s="4"/>
      <c r="H52" s="269"/>
      <c r="I52" s="269"/>
      <c r="J52" s="269"/>
      <c r="K52" s="269"/>
      <c r="L52" s="55"/>
      <c r="M52" s="266"/>
      <c r="N52" s="266"/>
      <c r="O52" s="266"/>
      <c r="P52" s="266"/>
      <c r="Q52" s="4"/>
      <c r="R52" s="5"/>
      <c r="S52" s="5"/>
      <c r="T52" s="5"/>
      <c r="U52" s="5"/>
      <c r="V52" s="5"/>
      <c r="W52" s="4"/>
      <c r="X52" s="4"/>
      <c r="Y52" s="4"/>
      <c r="AF52" s="4"/>
      <c r="AG52" s="4"/>
      <c r="AH52" s="4"/>
      <c r="AI52" s="4"/>
      <c r="AJ52" s="33">
        <f>COUNTA(Officers!H19)</f>
        <v>0</v>
      </c>
      <c r="AK52" s="4"/>
      <c r="AL52" s="4"/>
      <c r="AM52" s="4"/>
      <c r="AN52" s="4"/>
      <c r="AO52" s="78"/>
      <c r="AP52" s="78"/>
      <c r="AQ52" s="4"/>
      <c r="AR52" s="4"/>
      <c r="AS52" s="4"/>
      <c r="AT52" s="4"/>
      <c r="AU52" s="4"/>
      <c r="AV52" s="4"/>
      <c r="AW52" s="4"/>
    </row>
    <row r="53" spans="1:49" x14ac:dyDescent="0.3">
      <c r="A53" s="5"/>
      <c r="B53" s="267">
        <f xml:space="preserve"> ('Cambs Appliances'!Q70)</f>
        <v>0</v>
      </c>
      <c r="C53" s="267"/>
      <c r="D53" s="199">
        <f>COUNTA('Cambs Appliances'!R72:S77)</f>
        <v>0</v>
      </c>
      <c r="E53" s="200">
        <f xml:space="preserve"> ('Cambs Appliances'!T71)</f>
        <v>0</v>
      </c>
      <c r="F53" s="198"/>
      <c r="G53" s="4"/>
      <c r="H53" s="269"/>
      <c r="I53" s="269"/>
      <c r="J53" s="269"/>
      <c r="K53" s="269"/>
      <c r="L53" s="55"/>
      <c r="M53" s="266"/>
      <c r="N53" s="266"/>
      <c r="O53" s="266"/>
      <c r="P53" s="266"/>
      <c r="Q53" s="4"/>
      <c r="R53" s="5"/>
      <c r="S53" s="5"/>
      <c r="T53" s="5"/>
      <c r="U53" s="5"/>
      <c r="V53" s="5"/>
      <c r="W53" s="4"/>
      <c r="X53" s="4"/>
      <c r="Y53" s="4"/>
      <c r="AF53" s="4"/>
      <c r="AG53" s="4"/>
      <c r="AH53" s="4"/>
      <c r="AI53" s="4"/>
      <c r="AJ53" s="33">
        <f>COUNTA(Officers!H20)</f>
        <v>0</v>
      </c>
      <c r="AK53" s="4"/>
      <c r="AL53" s="4"/>
      <c r="AM53" s="4"/>
      <c r="AN53" s="4"/>
      <c r="AO53" s="78"/>
      <c r="AP53" s="78"/>
      <c r="AQ53" s="4"/>
      <c r="AR53" s="4"/>
      <c r="AS53" s="4"/>
      <c r="AT53" s="4"/>
      <c r="AU53" s="4"/>
      <c r="AV53" s="4"/>
      <c r="AW53" s="4"/>
    </row>
    <row r="54" spans="1:49" s="4" customFormat="1" x14ac:dyDescent="0.3">
      <c r="B54" s="267">
        <f xml:space="preserve"> ('Cambs Appliances'!Q80)</f>
        <v>0</v>
      </c>
      <c r="C54" s="267"/>
      <c r="D54" s="250">
        <f>COUNTA('Cambs Appliances'!R82:S87)</f>
        <v>0</v>
      </c>
      <c r="E54" s="200">
        <f xml:space="preserve"> ('Cambs Appliances'!T81)</f>
        <v>0</v>
      </c>
      <c r="F54" s="198"/>
      <c r="H54" s="168"/>
      <c r="I54" s="168"/>
      <c r="J54" s="168"/>
      <c r="K54" s="168"/>
      <c r="R54" s="17"/>
      <c r="S54" s="17"/>
      <c r="T54" s="17"/>
      <c r="U54" s="17"/>
      <c r="V54" s="17"/>
      <c r="AJ54" s="33">
        <f>COUNTA(Officers!H21)</f>
        <v>0</v>
      </c>
      <c r="AO54" s="78"/>
      <c r="AP54" s="78"/>
    </row>
    <row r="55" spans="1:49" s="4" customFormat="1" ht="15" hidden="1" customHeight="1" x14ac:dyDescent="0.3">
      <c r="B55" s="267">
        <f xml:space="preserve"> ('Cambs Appliances'!Q55)</f>
        <v>0</v>
      </c>
      <c r="C55" s="267"/>
      <c r="D55" s="199">
        <f>COUNTA('Cambs Appliances'!Q57:S62)</f>
        <v>0</v>
      </c>
      <c r="E55" s="200">
        <f xml:space="preserve"> ('Cambs Appliances'!T56)</f>
        <v>0</v>
      </c>
      <c r="F55" s="198"/>
      <c r="H55" s="168"/>
      <c r="I55" s="168"/>
      <c r="J55" s="168"/>
      <c r="K55" s="168"/>
      <c r="AJ55" s="33"/>
      <c r="AO55" s="78"/>
      <c r="AP55" s="78"/>
    </row>
    <row r="56" spans="1:49" s="4" customFormat="1" ht="15" hidden="1" customHeight="1" x14ac:dyDescent="0.3">
      <c r="B56" s="268">
        <f xml:space="preserve"> ('Cambs Appliances'!Q65)</f>
        <v>0</v>
      </c>
      <c r="C56" s="268"/>
      <c r="D56" s="201">
        <f>COUNTA('Cambs Appliances'!Q67:S72)</f>
        <v>0</v>
      </c>
      <c r="E56" s="202">
        <f xml:space="preserve"> ('Cambs Appliances'!T66)</f>
        <v>0</v>
      </c>
      <c r="F56" s="198"/>
      <c r="H56" s="168"/>
      <c r="I56" s="168"/>
      <c r="J56" s="168"/>
      <c r="K56" s="168"/>
      <c r="AJ56" s="33"/>
      <c r="AO56" s="78"/>
      <c r="AP56" s="78"/>
    </row>
    <row r="57" spans="1:49" s="4" customFormat="1" hidden="1" x14ac:dyDescent="0.3">
      <c r="B57" s="203"/>
      <c r="C57" s="203"/>
      <c r="D57" s="203"/>
      <c r="E57" s="203"/>
      <c r="F57" s="204"/>
      <c r="H57" s="168"/>
      <c r="I57" s="168"/>
      <c r="J57" s="168"/>
      <c r="K57" s="168"/>
      <c r="AJ57" s="33"/>
      <c r="AO57" s="78"/>
      <c r="AP57" s="78"/>
    </row>
    <row r="58" spans="1:49" s="4" customFormat="1" hidden="1" x14ac:dyDescent="0.3">
      <c r="B58" s="203"/>
      <c r="C58" s="203"/>
      <c r="D58" s="203"/>
      <c r="E58" s="203"/>
      <c r="F58" s="204"/>
      <c r="H58" s="168"/>
      <c r="I58" s="168"/>
      <c r="J58" s="168"/>
      <c r="K58" s="168"/>
      <c r="AJ58" s="33"/>
      <c r="AO58" s="78"/>
      <c r="AP58" s="78"/>
    </row>
    <row r="59" spans="1:49" s="4" customFormat="1" hidden="1" x14ac:dyDescent="0.3">
      <c r="B59" s="203"/>
      <c r="C59" s="203"/>
      <c r="D59" s="203"/>
      <c r="E59" s="203"/>
      <c r="F59" s="204"/>
      <c r="H59" s="168"/>
      <c r="I59" s="168"/>
      <c r="J59" s="168"/>
      <c r="K59" s="168"/>
      <c r="AJ59" s="33"/>
      <c r="AO59" s="78"/>
      <c r="AP59" s="78"/>
    </row>
    <row r="60" spans="1:49" s="4" customFormat="1" hidden="1" x14ac:dyDescent="0.3">
      <c r="B60" s="203"/>
      <c r="C60" s="203"/>
      <c r="D60" s="203"/>
      <c r="E60" s="203"/>
      <c r="F60" s="204"/>
      <c r="H60" s="168"/>
      <c r="I60" s="168"/>
      <c r="J60" s="168"/>
      <c r="K60" s="168"/>
      <c r="AJ60" s="33"/>
      <c r="AO60" s="78"/>
      <c r="AP60" s="78"/>
    </row>
    <row r="61" spans="1:49" s="4" customFormat="1" hidden="1" x14ac:dyDescent="0.3">
      <c r="B61" s="203"/>
      <c r="C61" s="203"/>
      <c r="D61" s="203"/>
      <c r="E61" s="203"/>
      <c r="F61" s="204"/>
      <c r="H61" s="168"/>
      <c r="I61" s="168"/>
      <c r="J61" s="168"/>
      <c r="K61" s="168"/>
      <c r="AJ61" s="33"/>
      <c r="AO61" s="78"/>
      <c r="AP61" s="78"/>
    </row>
    <row r="62" spans="1:49" s="4" customFormat="1" hidden="1" x14ac:dyDescent="0.3">
      <c r="B62" s="203"/>
      <c r="C62" s="203"/>
      <c r="D62" s="203"/>
      <c r="E62" s="203"/>
      <c r="F62" s="204"/>
      <c r="H62" s="168"/>
      <c r="I62" s="168"/>
      <c r="J62" s="168"/>
      <c r="K62" s="168"/>
      <c r="AJ62" s="33"/>
      <c r="AO62" s="78"/>
      <c r="AP62" s="78"/>
    </row>
    <row r="63" spans="1:49" s="4" customFormat="1" hidden="1" x14ac:dyDescent="0.3">
      <c r="B63" s="203"/>
      <c r="C63" s="203"/>
      <c r="D63" s="203"/>
      <c r="E63" s="203"/>
      <c r="F63" s="204"/>
      <c r="H63" s="168"/>
      <c r="I63" s="168"/>
      <c r="J63" s="168"/>
      <c r="K63" s="168"/>
      <c r="AJ63" s="33"/>
      <c r="AO63" s="78"/>
      <c r="AP63" s="78"/>
    </row>
    <row r="64" spans="1:49" s="4" customFormat="1" hidden="1" x14ac:dyDescent="0.3">
      <c r="B64" s="203"/>
      <c r="C64" s="203"/>
      <c r="D64" s="203"/>
      <c r="E64" s="203"/>
      <c r="F64" s="204"/>
      <c r="H64" s="168"/>
      <c r="I64" s="168"/>
      <c r="J64" s="168"/>
      <c r="K64" s="168"/>
      <c r="AJ64" s="33"/>
      <c r="AO64" s="77"/>
      <c r="AP64" s="77"/>
    </row>
    <row r="65" spans="2:42" s="4" customFormat="1" hidden="1" x14ac:dyDescent="0.3">
      <c r="B65" s="203"/>
      <c r="C65" s="203"/>
      <c r="D65" s="203"/>
      <c r="E65" s="203"/>
      <c r="F65" s="204"/>
      <c r="H65" s="168"/>
      <c r="I65" s="168"/>
      <c r="J65" s="168"/>
      <c r="K65" s="168"/>
      <c r="AJ65" s="33"/>
      <c r="AO65" s="77"/>
      <c r="AP65" s="77"/>
    </row>
    <row r="66" spans="2:42" s="4" customFormat="1" hidden="1" x14ac:dyDescent="0.3">
      <c r="B66" s="203"/>
      <c r="C66" s="203"/>
      <c r="D66" s="203"/>
      <c r="E66" s="203"/>
      <c r="F66" s="204"/>
      <c r="H66" s="168"/>
      <c r="I66" s="168"/>
      <c r="J66" s="168"/>
      <c r="K66" s="168"/>
      <c r="AJ66" s="33"/>
      <c r="AO66" s="77"/>
      <c r="AP66" s="77"/>
    </row>
    <row r="67" spans="2:42" s="4" customFormat="1" hidden="1" x14ac:dyDescent="0.3">
      <c r="B67" s="203"/>
      <c r="C67" s="203"/>
      <c r="D67" s="203"/>
      <c r="E67" s="203"/>
      <c r="F67" s="204"/>
      <c r="H67" s="168"/>
      <c r="I67" s="168"/>
      <c r="J67" s="168"/>
      <c r="K67" s="168"/>
      <c r="AJ67" s="33"/>
      <c r="AO67" s="77"/>
      <c r="AP67" s="77"/>
    </row>
    <row r="68" spans="2:42" s="4" customFormat="1" x14ac:dyDescent="0.3">
      <c r="B68" s="267">
        <f xml:space="preserve"> ('Cambs Appliances'!Q90)</f>
        <v>0</v>
      </c>
      <c r="C68" s="267"/>
      <c r="D68" s="250">
        <f>COUNTA('Cambs Appliances'!R92:S97)</f>
        <v>0</v>
      </c>
      <c r="E68" s="200">
        <f xml:space="preserve"> ('Cambs Appliances'!T91)</f>
        <v>0</v>
      </c>
      <c r="F68" s="198"/>
      <c r="H68" s="168"/>
      <c r="I68" s="168"/>
      <c r="J68" s="168"/>
      <c r="K68" s="168"/>
      <c r="AJ68" s="33">
        <f>COUNTA(Officers!H22)</f>
        <v>0</v>
      </c>
      <c r="AO68" s="77"/>
      <c r="AP68" s="77"/>
    </row>
    <row r="69" spans="2:42" s="4" customFormat="1" x14ac:dyDescent="0.3">
      <c r="B69" s="268">
        <f xml:space="preserve"> ('Cambs Appliances'!Q100)</f>
        <v>0</v>
      </c>
      <c r="C69" s="268"/>
      <c r="D69" s="251">
        <f>COUNTA('Cambs Appliances'!R102:S107)</f>
        <v>0</v>
      </c>
      <c r="E69" s="202">
        <f xml:space="preserve"> ('Cambs Appliances'!T101)</f>
        <v>0</v>
      </c>
      <c r="F69" s="198"/>
      <c r="H69" s="168"/>
      <c r="I69" s="168"/>
      <c r="J69" s="168"/>
      <c r="K69" s="168"/>
      <c r="AJ69" s="33">
        <f>COUNTA(Officers!H23)</f>
        <v>0</v>
      </c>
    </row>
    <row r="70" spans="2:42" s="4" customFormat="1" x14ac:dyDescent="0.3">
      <c r="H70" s="168"/>
      <c r="I70" s="168"/>
      <c r="J70" s="168"/>
      <c r="K70" s="168"/>
      <c r="AJ70" s="33">
        <f>COUNTA(Officers!H24)</f>
        <v>0</v>
      </c>
    </row>
    <row r="71" spans="2:42" s="4" customFormat="1" x14ac:dyDescent="0.3">
      <c r="H71" s="168"/>
      <c r="I71" s="168"/>
      <c r="J71" s="168"/>
      <c r="K71" s="168"/>
      <c r="AJ71" s="33">
        <f>COUNTA(Officers!H25)</f>
        <v>0</v>
      </c>
    </row>
    <row r="72" spans="2:42" s="4" customFormat="1" x14ac:dyDescent="0.3">
      <c r="H72" s="168"/>
      <c r="I72" s="168"/>
      <c r="J72" s="235"/>
      <c r="K72" s="235"/>
      <c r="AJ72" s="33">
        <f>SUM(AJ43:AJ71)</f>
        <v>0</v>
      </c>
    </row>
    <row r="73" spans="2:42" s="4" customFormat="1" x14ac:dyDescent="0.3">
      <c r="H73" s="168"/>
      <c r="I73" s="168"/>
      <c r="J73" s="235"/>
      <c r="K73" s="235"/>
      <c r="AH73" s="4" t="s">
        <v>216</v>
      </c>
      <c r="AJ73" s="31">
        <f>COUNTA(Officers!Q10)</f>
        <v>0</v>
      </c>
    </row>
    <row r="74" spans="2:42" s="4" customFormat="1" ht="18" x14ac:dyDescent="0.35">
      <c r="H74" s="168"/>
      <c r="I74" s="168"/>
      <c r="J74" s="235"/>
      <c r="K74" s="235"/>
      <c r="N74" s="194"/>
      <c r="O74" s="238"/>
      <c r="P74" s="194"/>
      <c r="Q74" s="194"/>
      <c r="R74" s="193"/>
      <c r="S74" s="238"/>
      <c r="T74" s="193"/>
      <c r="U74" s="193"/>
      <c r="V74" s="193"/>
      <c r="W74" s="238"/>
      <c r="X74" s="193"/>
      <c r="AJ74" s="31">
        <f>COUNTA(Officers!Q11)</f>
        <v>0</v>
      </c>
    </row>
    <row r="75" spans="2:42" s="4" customFormat="1" x14ac:dyDescent="0.3">
      <c r="H75" s="168"/>
      <c r="I75" s="168"/>
      <c r="J75" s="235"/>
      <c r="K75" s="235"/>
      <c r="N75" s="239"/>
      <c r="O75" s="239"/>
      <c r="P75" s="240"/>
      <c r="Q75" s="108"/>
      <c r="R75" s="239"/>
      <c r="S75" s="239"/>
      <c r="T75" s="240"/>
      <c r="U75" s="108"/>
      <c r="V75" s="239"/>
      <c r="W75" s="239"/>
      <c r="X75" s="240"/>
      <c r="AJ75" s="31">
        <f>COUNTA(Officers!Q12)</f>
        <v>0</v>
      </c>
    </row>
    <row r="76" spans="2:42" s="4" customFormat="1" x14ac:dyDescent="0.3">
      <c r="H76" s="168"/>
      <c r="I76" s="168"/>
      <c r="J76" s="235"/>
      <c r="K76" s="235"/>
      <c r="N76" s="241"/>
      <c r="O76" s="241"/>
      <c r="P76" s="241"/>
      <c r="Q76" s="108"/>
      <c r="R76" s="241"/>
      <c r="S76" s="241"/>
      <c r="T76" s="241"/>
      <c r="U76" s="108"/>
      <c r="V76" s="241"/>
      <c r="W76" s="241"/>
      <c r="X76" s="241"/>
      <c r="AJ76" s="31">
        <f>COUNTA(Officers!Q13)</f>
        <v>0</v>
      </c>
    </row>
    <row r="77" spans="2:42" s="4" customFormat="1" x14ac:dyDescent="0.3">
      <c r="H77" s="168"/>
      <c r="I77" s="168"/>
      <c r="J77" s="235"/>
      <c r="K77" s="235"/>
      <c r="N77" s="241"/>
      <c r="O77" s="241"/>
      <c r="P77" s="241"/>
      <c r="Q77" s="108"/>
      <c r="R77" s="234"/>
      <c r="S77" s="234"/>
      <c r="T77" s="234"/>
      <c r="U77" s="108"/>
      <c r="V77" s="234"/>
      <c r="W77" s="234"/>
      <c r="X77" s="234"/>
      <c r="AJ77" s="31">
        <f>COUNTA(Officers!Q14)</f>
        <v>0</v>
      </c>
    </row>
    <row r="78" spans="2:42" s="4" customFormat="1" x14ac:dyDescent="0.3">
      <c r="H78" s="168"/>
      <c r="I78" s="168"/>
      <c r="J78" s="235"/>
      <c r="K78" s="235"/>
      <c r="N78" s="241"/>
      <c r="O78" s="241"/>
      <c r="P78" s="241"/>
      <c r="Q78" s="108"/>
      <c r="R78" s="234"/>
      <c r="S78" s="234"/>
      <c r="T78" s="234"/>
      <c r="U78" s="108"/>
      <c r="V78" s="234"/>
      <c r="W78" s="234"/>
      <c r="X78" s="234"/>
      <c r="AJ78" s="31">
        <f>COUNTA(Officers!Q15)</f>
        <v>0</v>
      </c>
    </row>
    <row r="79" spans="2:42" s="4" customFormat="1" x14ac:dyDescent="0.3">
      <c r="H79" s="168"/>
      <c r="I79" s="168"/>
      <c r="J79" s="235"/>
      <c r="K79" s="235"/>
      <c r="N79" s="241"/>
      <c r="O79" s="241"/>
      <c r="P79" s="241"/>
      <c r="Q79" s="108"/>
      <c r="R79" s="234"/>
      <c r="S79" s="234"/>
      <c r="T79" s="234"/>
      <c r="U79" s="108"/>
      <c r="V79" s="234"/>
      <c r="W79" s="234"/>
      <c r="X79" s="234"/>
      <c r="AJ79" s="31">
        <f>COUNTA(Officers!Q16)</f>
        <v>0</v>
      </c>
    </row>
    <row r="80" spans="2:42" s="4" customFormat="1" x14ac:dyDescent="0.3">
      <c r="H80" s="168"/>
      <c r="I80" s="168"/>
      <c r="J80" s="235"/>
      <c r="K80" s="235"/>
      <c r="N80" s="241"/>
      <c r="O80" s="241"/>
      <c r="P80" s="241"/>
      <c r="Q80" s="108"/>
      <c r="R80" s="234"/>
      <c r="S80" s="234"/>
      <c r="T80" s="234"/>
      <c r="U80" s="108"/>
      <c r="V80" s="234"/>
      <c r="W80" s="234"/>
      <c r="X80" s="234"/>
      <c r="AJ80" s="31">
        <f>COUNTA(Officers!Q17)</f>
        <v>0</v>
      </c>
    </row>
    <row r="81" spans="8:36" s="4" customFormat="1" x14ac:dyDescent="0.3">
      <c r="H81" s="168"/>
      <c r="I81" s="168"/>
      <c r="J81" s="235"/>
      <c r="K81" s="235"/>
      <c r="N81" s="239"/>
      <c r="O81" s="239"/>
      <c r="P81" s="239"/>
      <c r="Q81" s="108"/>
      <c r="R81" s="234"/>
      <c r="S81" s="234"/>
      <c r="T81" s="234"/>
      <c r="U81" s="108"/>
      <c r="V81" s="234"/>
      <c r="W81" s="234"/>
      <c r="X81" s="234"/>
      <c r="AJ81" s="31">
        <f>COUNTA(Officers!Q18)</f>
        <v>0</v>
      </c>
    </row>
    <row r="82" spans="8:36" s="4" customFormat="1" x14ac:dyDescent="0.3">
      <c r="H82" s="168"/>
      <c r="I82" s="168"/>
      <c r="J82" s="235"/>
      <c r="K82" s="235"/>
      <c r="N82" s="239"/>
      <c r="O82" s="239"/>
      <c r="P82" s="239"/>
      <c r="Q82" s="108"/>
      <c r="R82" s="234"/>
      <c r="S82" s="234"/>
      <c r="T82" s="234"/>
      <c r="U82" s="108"/>
      <c r="V82" s="234"/>
      <c r="W82" s="234"/>
      <c r="X82" s="234"/>
      <c r="AJ82" s="31">
        <f>COUNTA(Officers!Q19)</f>
        <v>0</v>
      </c>
    </row>
    <row r="83" spans="8:36" s="4" customFormat="1" x14ac:dyDescent="0.3">
      <c r="H83" s="168"/>
      <c r="I83" s="168"/>
      <c r="J83" s="235"/>
      <c r="K83" s="235"/>
      <c r="N83" s="239"/>
      <c r="O83" s="239"/>
      <c r="P83" s="239"/>
      <c r="Q83" s="108"/>
      <c r="R83" s="234"/>
      <c r="S83" s="234"/>
      <c r="T83" s="234"/>
      <c r="U83" s="108"/>
      <c r="V83" s="234"/>
      <c r="W83" s="234"/>
      <c r="X83" s="234"/>
      <c r="AJ83" s="31">
        <f>COUNTA(Officers!Q20)</f>
        <v>0</v>
      </c>
    </row>
    <row r="84" spans="8:36" s="4" customFormat="1" x14ac:dyDescent="0.3">
      <c r="H84" s="168"/>
      <c r="I84" s="168"/>
      <c r="J84" s="235"/>
      <c r="K84" s="235"/>
      <c r="N84" s="239"/>
      <c r="O84" s="239"/>
      <c r="P84" s="239"/>
      <c r="Q84" s="108"/>
      <c r="R84" s="234"/>
      <c r="S84" s="234"/>
      <c r="T84" s="234"/>
      <c r="U84" s="108"/>
      <c r="V84" s="234"/>
      <c r="W84" s="234"/>
      <c r="X84" s="234"/>
      <c r="AJ84" s="31">
        <f>COUNTA(Officers!Q21)</f>
        <v>0</v>
      </c>
    </row>
    <row r="85" spans="8:36" s="4" customFormat="1" x14ac:dyDescent="0.3">
      <c r="H85" s="168"/>
      <c r="I85" s="168"/>
      <c r="J85" s="235"/>
      <c r="K85" s="235"/>
      <c r="N85" s="239"/>
      <c r="O85" s="239"/>
      <c r="P85" s="239"/>
      <c r="Q85" s="108"/>
      <c r="R85" s="234"/>
      <c r="S85" s="234"/>
      <c r="T85" s="234"/>
      <c r="U85" s="108"/>
      <c r="V85" s="234"/>
      <c r="W85" s="234"/>
      <c r="X85" s="234"/>
      <c r="AJ85" s="31">
        <f>COUNTA(Officers!Q22)</f>
        <v>0</v>
      </c>
    </row>
    <row r="86" spans="8:36" s="4" customFormat="1" x14ac:dyDescent="0.3">
      <c r="H86" s="168"/>
      <c r="I86" s="168"/>
      <c r="J86" s="235"/>
      <c r="K86" s="235"/>
      <c r="N86" s="239"/>
      <c r="O86" s="239"/>
      <c r="P86" s="239"/>
      <c r="Q86" s="108"/>
      <c r="R86" s="234"/>
      <c r="S86" s="234"/>
      <c r="T86" s="234"/>
      <c r="U86" s="108"/>
      <c r="V86" s="234"/>
      <c r="W86" s="234"/>
      <c r="X86" s="234"/>
      <c r="AJ86" s="31">
        <f>COUNTA(Officers!Q23)</f>
        <v>0</v>
      </c>
    </row>
    <row r="87" spans="8:36" s="4" customFormat="1" x14ac:dyDescent="0.3">
      <c r="H87" s="168"/>
      <c r="I87" s="168"/>
      <c r="J87" s="235"/>
      <c r="K87" s="235"/>
      <c r="N87" s="239"/>
      <c r="O87" s="239"/>
      <c r="P87" s="239"/>
      <c r="Q87" s="108"/>
      <c r="R87" s="234"/>
      <c r="S87" s="234"/>
      <c r="T87" s="234"/>
      <c r="U87" s="108"/>
      <c r="V87" s="234"/>
      <c r="W87" s="234"/>
      <c r="X87" s="234"/>
      <c r="AJ87" s="31">
        <f>COUNTA(Officers!Q24)</f>
        <v>0</v>
      </c>
    </row>
    <row r="88" spans="8:36" s="4" customFormat="1" x14ac:dyDescent="0.3">
      <c r="H88" s="168"/>
      <c r="I88" s="168"/>
      <c r="J88" s="235"/>
      <c r="K88" s="235"/>
      <c r="N88" s="239"/>
      <c r="O88" s="239"/>
      <c r="P88" s="239"/>
      <c r="Q88" s="108"/>
      <c r="R88" s="234"/>
      <c r="S88" s="234"/>
      <c r="T88" s="234"/>
      <c r="U88" s="108"/>
      <c r="V88" s="234"/>
      <c r="W88" s="234"/>
      <c r="X88" s="234"/>
      <c r="AJ88" s="31">
        <f>COUNTA(Officers!Q25)</f>
        <v>0</v>
      </c>
    </row>
    <row r="89" spans="8:36" s="4" customFormat="1" x14ac:dyDescent="0.3">
      <c r="H89" s="168"/>
      <c r="I89" s="168"/>
      <c r="J89" s="235"/>
      <c r="K89" s="235"/>
      <c r="N89" s="239"/>
      <c r="O89" s="239"/>
      <c r="P89" s="239"/>
      <c r="Q89" s="108"/>
      <c r="R89" s="234"/>
      <c r="S89" s="234"/>
      <c r="T89" s="234"/>
      <c r="U89" s="108"/>
      <c r="V89" s="234"/>
      <c r="W89" s="234"/>
      <c r="X89" s="234"/>
      <c r="AJ89" s="31"/>
    </row>
    <row r="90" spans="8:36" s="4" customFormat="1" x14ac:dyDescent="0.3">
      <c r="H90" s="168"/>
      <c r="I90" s="168"/>
      <c r="J90" s="235"/>
      <c r="K90" s="235"/>
      <c r="N90" s="239"/>
      <c r="O90" s="239"/>
      <c r="P90" s="239"/>
      <c r="Q90" s="108"/>
      <c r="R90" s="234"/>
      <c r="S90" s="234"/>
      <c r="T90" s="234"/>
      <c r="U90" s="108"/>
      <c r="V90" s="234"/>
      <c r="W90" s="234"/>
      <c r="X90" s="234"/>
      <c r="AJ90" s="31">
        <f>SUM(AJ73:AJ89)</f>
        <v>0</v>
      </c>
    </row>
    <row r="91" spans="8:36" s="4" customFormat="1" x14ac:dyDescent="0.3">
      <c r="H91" s="168"/>
      <c r="I91" s="168"/>
      <c r="J91" s="235"/>
      <c r="K91" s="235"/>
      <c r="N91" s="239"/>
      <c r="O91" s="239"/>
      <c r="P91" s="239"/>
      <c r="Q91" s="108"/>
      <c r="R91" s="234"/>
      <c r="S91" s="234"/>
      <c r="T91" s="234"/>
      <c r="U91" s="108"/>
      <c r="V91" s="234"/>
      <c r="W91" s="234"/>
      <c r="X91" s="234"/>
      <c r="AJ91" s="35">
        <f>COUNTA('Other Agencies'!O5)</f>
        <v>0</v>
      </c>
    </row>
    <row r="92" spans="8:36" s="4" customFormat="1" x14ac:dyDescent="0.3">
      <c r="H92" s="168"/>
      <c r="I92" s="168"/>
      <c r="J92" s="235"/>
      <c r="K92" s="235"/>
      <c r="N92" s="239"/>
      <c r="O92" s="239"/>
      <c r="P92" s="239"/>
      <c r="Q92" s="108"/>
      <c r="R92" s="234"/>
      <c r="S92" s="234"/>
      <c r="T92" s="234"/>
      <c r="U92" s="108"/>
      <c r="V92" s="234"/>
      <c r="W92" s="234"/>
      <c r="X92" s="234"/>
      <c r="AJ92" s="35">
        <f>COUNTA('Other Agencies'!O6)</f>
        <v>0</v>
      </c>
    </row>
    <row r="93" spans="8:36" s="4" customFormat="1" x14ac:dyDescent="0.3">
      <c r="H93" s="168"/>
      <c r="I93" s="168"/>
      <c r="J93" s="235"/>
      <c r="K93" s="235"/>
      <c r="N93" s="239"/>
      <c r="O93" s="239"/>
      <c r="P93" s="239"/>
      <c r="Q93" s="108"/>
      <c r="R93" s="234"/>
      <c r="S93" s="234"/>
      <c r="T93" s="234"/>
      <c r="U93" s="108"/>
      <c r="V93" s="234"/>
      <c r="W93" s="234"/>
      <c r="X93" s="234"/>
      <c r="AJ93" s="35">
        <f>COUNTA('Other Agencies'!O7)</f>
        <v>0</v>
      </c>
    </row>
    <row r="94" spans="8:36" s="4" customFormat="1" x14ac:dyDescent="0.3">
      <c r="N94" s="242"/>
      <c r="O94" s="242"/>
      <c r="P94" s="242"/>
      <c r="R94" s="234"/>
      <c r="S94" s="234"/>
      <c r="T94" s="234"/>
      <c r="V94" s="234"/>
      <c r="W94" s="234"/>
      <c r="X94" s="234"/>
      <c r="AJ94" s="35">
        <f>COUNTA('Other Agencies'!O8)</f>
        <v>0</v>
      </c>
    </row>
    <row r="95" spans="8:36" s="4" customFormat="1" x14ac:dyDescent="0.3">
      <c r="N95" s="242"/>
      <c r="O95" s="242"/>
      <c r="P95" s="242"/>
      <c r="R95" s="234"/>
      <c r="S95" s="234"/>
      <c r="T95" s="234"/>
      <c r="V95" s="234"/>
      <c r="W95" s="234"/>
      <c r="X95" s="234"/>
      <c r="AJ95" s="35">
        <f>COUNTA('Other Agencies'!O9)</f>
        <v>0</v>
      </c>
    </row>
    <row r="96" spans="8:36" s="4" customFormat="1" x14ac:dyDescent="0.3">
      <c r="N96" s="242"/>
      <c r="O96" s="242"/>
      <c r="P96" s="242"/>
      <c r="R96" s="236"/>
      <c r="S96" s="236"/>
      <c r="T96" s="236"/>
      <c r="V96" s="236"/>
      <c r="W96" s="236"/>
      <c r="X96" s="236"/>
      <c r="AJ96" s="35">
        <f>COUNTA('Other Agencies'!O10)</f>
        <v>0</v>
      </c>
    </row>
    <row r="97" spans="14:36" s="4" customFormat="1" x14ac:dyDescent="0.3">
      <c r="N97" s="236"/>
      <c r="O97" s="236"/>
      <c r="P97" s="236"/>
      <c r="Q97" s="236"/>
      <c r="R97" s="236"/>
      <c r="S97" s="236"/>
      <c r="T97" s="236"/>
      <c r="V97" s="236"/>
      <c r="W97" s="236"/>
      <c r="X97" s="236"/>
      <c r="AJ97" s="35">
        <f>COUNTA('Other Agencies'!O11)</f>
        <v>0</v>
      </c>
    </row>
    <row r="98" spans="14:36" s="4" customFormat="1" x14ac:dyDescent="0.3">
      <c r="AJ98" s="35">
        <f>COUNTA('Other Agencies'!O12)</f>
        <v>0</v>
      </c>
    </row>
    <row r="99" spans="14:36" s="4" customFormat="1" x14ac:dyDescent="0.3">
      <c r="AJ99" s="35">
        <f>COUNTA('Other Agencies'!O13)</f>
        <v>0</v>
      </c>
    </row>
    <row r="100" spans="14:36" s="4" customFormat="1" x14ac:dyDescent="0.3">
      <c r="AJ100" s="35">
        <f>COUNTA('Other Agencies'!O14)</f>
        <v>0</v>
      </c>
    </row>
    <row r="101" spans="14:36" s="4" customFormat="1" x14ac:dyDescent="0.3">
      <c r="AJ101" s="35">
        <f>COUNTA('Other Agencies'!O15)</f>
        <v>0</v>
      </c>
    </row>
    <row r="102" spans="14:36" s="4" customFormat="1" x14ac:dyDescent="0.3">
      <c r="AJ102" s="35">
        <f>COUNTA('Other Agencies'!O16)</f>
        <v>0</v>
      </c>
    </row>
    <row r="103" spans="14:36" s="4" customFormat="1" x14ac:dyDescent="0.3">
      <c r="AJ103" s="35">
        <f>COUNTA('Other Agencies'!O17)</f>
        <v>0</v>
      </c>
    </row>
    <row r="104" spans="14:36" s="4" customFormat="1" x14ac:dyDescent="0.3">
      <c r="AJ104" s="35">
        <f>COUNTA('Other Agencies'!O18)</f>
        <v>0</v>
      </c>
    </row>
    <row r="105" spans="14:36" s="4" customFormat="1" x14ac:dyDescent="0.3">
      <c r="AJ105" s="35">
        <f>COUNTA('Other Agencies'!O19)</f>
        <v>0</v>
      </c>
    </row>
    <row r="106" spans="14:36" s="4" customFormat="1" x14ac:dyDescent="0.3">
      <c r="AJ106" s="35">
        <f>COUNTA('Other Agencies'!O20)</f>
        <v>0</v>
      </c>
    </row>
    <row r="107" spans="14:36" s="4" customFormat="1" x14ac:dyDescent="0.3">
      <c r="AJ107" s="35">
        <f>COUNTA('Other Agencies'!O21)</f>
        <v>0</v>
      </c>
    </row>
    <row r="108" spans="14:36" s="4" customFormat="1" x14ac:dyDescent="0.3">
      <c r="AJ108" s="35">
        <f>COUNTA('Other Agencies'!O22)</f>
        <v>0</v>
      </c>
    </row>
    <row r="109" spans="14:36" s="4" customFormat="1" x14ac:dyDescent="0.3">
      <c r="AJ109" s="35">
        <f>COUNTA('Other Agencies'!O23)</f>
        <v>0</v>
      </c>
    </row>
    <row r="110" spans="14:36" s="4" customFormat="1" x14ac:dyDescent="0.3">
      <c r="AJ110" s="35">
        <f>COUNTA('Other Agencies'!O24)</f>
        <v>0</v>
      </c>
    </row>
    <row r="111" spans="14:36" s="4" customFormat="1" x14ac:dyDescent="0.3">
      <c r="AJ111" s="35">
        <f>COUNTA('Other Agencies'!O25)</f>
        <v>0</v>
      </c>
    </row>
    <row r="112" spans="14:36" s="4" customFormat="1" x14ac:dyDescent="0.3">
      <c r="AJ112" s="35">
        <f>COUNTA('Other Agencies'!O26)</f>
        <v>0</v>
      </c>
    </row>
    <row r="113" spans="36:36" s="4" customFormat="1" x14ac:dyDescent="0.3">
      <c r="AJ113" s="35">
        <f>COUNTA('Other Agencies'!O27)</f>
        <v>0</v>
      </c>
    </row>
    <row r="114" spans="36:36" s="4" customFormat="1" x14ac:dyDescent="0.3">
      <c r="AJ114" s="35">
        <f>COUNTA('Other Agencies'!O28)</f>
        <v>0</v>
      </c>
    </row>
    <row r="115" spans="36:36" s="4" customFormat="1" x14ac:dyDescent="0.3">
      <c r="AJ115" s="35">
        <f>COUNTA('Other Agencies'!O29)</f>
        <v>0</v>
      </c>
    </row>
    <row r="116" spans="36:36" s="4" customFormat="1" x14ac:dyDescent="0.3">
      <c r="AJ116" s="35">
        <f>COUNTA('Other Agencies'!O30)</f>
        <v>0</v>
      </c>
    </row>
    <row r="117" spans="36:36" s="4" customFormat="1" x14ac:dyDescent="0.3">
      <c r="AJ117" s="35">
        <f>COUNTA('Other Agencies'!O31)</f>
        <v>0</v>
      </c>
    </row>
    <row r="118" spans="36:36" s="4" customFormat="1" x14ac:dyDescent="0.3">
      <c r="AJ118" s="35">
        <f>COUNTA('Other Agencies'!O32)</f>
        <v>0</v>
      </c>
    </row>
    <row r="119" spans="36:36" s="4" customFormat="1" x14ac:dyDescent="0.3">
      <c r="AJ119" s="35">
        <f>COUNTA('Other Agencies'!O33)</f>
        <v>0</v>
      </c>
    </row>
    <row r="120" spans="36:36" s="4" customFormat="1" x14ac:dyDescent="0.3">
      <c r="AJ120" s="35">
        <f>COUNTA('Other Agencies'!O34)</f>
        <v>0</v>
      </c>
    </row>
    <row r="121" spans="36:36" s="4" customFormat="1" x14ac:dyDescent="0.3">
      <c r="AJ121" s="35">
        <f>COUNTA('Other Agencies'!O35)</f>
        <v>0</v>
      </c>
    </row>
    <row r="122" spans="36:36" s="4" customFormat="1" x14ac:dyDescent="0.3">
      <c r="AJ122" s="35">
        <f>COUNTA('Other Agencies'!O36)</f>
        <v>0</v>
      </c>
    </row>
    <row r="123" spans="36:36" s="4" customFormat="1" x14ac:dyDescent="0.3">
      <c r="AJ123" s="35">
        <f>COUNTA('Other Agencies'!O37)</f>
        <v>0</v>
      </c>
    </row>
    <row r="124" spans="36:36" s="4" customFormat="1" x14ac:dyDescent="0.3">
      <c r="AJ124" s="35">
        <f>COUNTA('Other Agencies'!O38)</f>
        <v>0</v>
      </c>
    </row>
    <row r="125" spans="36:36" s="4" customFormat="1" x14ac:dyDescent="0.3">
      <c r="AJ125" s="35">
        <f>COUNTA('Other Agencies'!O39)</f>
        <v>0</v>
      </c>
    </row>
    <row r="126" spans="36:36" s="4" customFormat="1" x14ac:dyDescent="0.3">
      <c r="AJ126" s="35">
        <f>COUNTA('Other Agencies'!O40)</f>
        <v>0</v>
      </c>
    </row>
    <row r="127" spans="36:36" s="4" customFormat="1" x14ac:dyDescent="0.3">
      <c r="AJ127" s="35">
        <f>COUNTA('Other Agencies'!O41)</f>
        <v>0</v>
      </c>
    </row>
    <row r="128" spans="36:36" s="4" customFormat="1" x14ac:dyDescent="0.3">
      <c r="AJ128" s="35">
        <f>COUNTA('Other Agencies'!O42)</f>
        <v>0</v>
      </c>
    </row>
    <row r="129" spans="36:36" s="4" customFormat="1" x14ac:dyDescent="0.3">
      <c r="AJ129" s="4">
        <f>SUM(AJ91:AJ128)</f>
        <v>0</v>
      </c>
    </row>
    <row r="130" spans="36:36" s="4" customFormat="1" x14ac:dyDescent="0.3"/>
    <row r="131" spans="36:36" s="4" customFormat="1" x14ac:dyDescent="0.3"/>
    <row r="132" spans="36:36" s="4" customFormat="1" x14ac:dyDescent="0.3"/>
    <row r="133" spans="36:36" s="4" customFormat="1" x14ac:dyDescent="0.3"/>
    <row r="134" spans="36:36" s="4" customFormat="1" x14ac:dyDescent="0.3"/>
    <row r="135" spans="36:36" s="4" customFormat="1" x14ac:dyDescent="0.3"/>
    <row r="136" spans="36:36" s="4" customFormat="1" x14ac:dyDescent="0.3"/>
    <row r="137" spans="36:36" s="4" customFormat="1" x14ac:dyDescent="0.3"/>
    <row r="138" spans="36:36" s="4" customFormat="1" x14ac:dyDescent="0.3"/>
    <row r="139" spans="36:36" s="4" customFormat="1" x14ac:dyDescent="0.3"/>
    <row r="140" spans="36:36" s="4" customFormat="1" x14ac:dyDescent="0.3"/>
    <row r="141" spans="36:36" s="4" customFormat="1" x14ac:dyDescent="0.3"/>
    <row r="142" spans="36:36" s="4" customFormat="1" x14ac:dyDescent="0.3"/>
    <row r="143" spans="36:36" s="4" customFormat="1" x14ac:dyDescent="0.3"/>
  </sheetData>
  <sheetProtection selectLockedCells="1"/>
  <mergeCells count="234">
    <mergeCell ref="I30:J30"/>
    <mergeCell ref="I29:J29"/>
    <mergeCell ref="I28:J28"/>
    <mergeCell ref="H22:J22"/>
    <mergeCell ref="M22:O22"/>
    <mergeCell ref="R22:T22"/>
    <mergeCell ref="W22:Y22"/>
    <mergeCell ref="M8:N8"/>
    <mergeCell ref="V9:W9"/>
    <mergeCell ref="I24:J24"/>
    <mergeCell ref="I25:J25"/>
    <mergeCell ref="I27:J27"/>
    <mergeCell ref="I26:J26"/>
    <mergeCell ref="N25:O25"/>
    <mergeCell ref="N26:O26"/>
    <mergeCell ref="N27:O27"/>
    <mergeCell ref="N28:O28"/>
    <mergeCell ref="N29:O29"/>
    <mergeCell ref="N30:O30"/>
    <mergeCell ref="X25:Y25"/>
    <mergeCell ref="X26:Y26"/>
    <mergeCell ref="X27:Y27"/>
    <mergeCell ref="X28:Y28"/>
    <mergeCell ref="X29:Y29"/>
    <mergeCell ref="V3:W3"/>
    <mergeCell ref="V4:W4"/>
    <mergeCell ref="V5:W5"/>
    <mergeCell ref="V6:W6"/>
    <mergeCell ref="V7:W7"/>
    <mergeCell ref="V8:W8"/>
    <mergeCell ref="V2:W2"/>
    <mergeCell ref="V11:W11"/>
    <mergeCell ref="H23:I23"/>
    <mergeCell ref="M23:N23"/>
    <mergeCell ref="M11:N11"/>
    <mergeCell ref="M12:N12"/>
    <mergeCell ref="V13:W13"/>
    <mergeCell ref="V14:W14"/>
    <mergeCell ref="V15:W15"/>
    <mergeCell ref="V12:W12"/>
    <mergeCell ref="V17:W17"/>
    <mergeCell ref="Q17:S17"/>
    <mergeCell ref="M13:N13"/>
    <mergeCell ref="V10:W10"/>
    <mergeCell ref="B36:C36"/>
    <mergeCell ref="B28:C28"/>
    <mergeCell ref="B29:C29"/>
    <mergeCell ref="Q6:T6"/>
    <mergeCell ref="Q2:T5"/>
    <mergeCell ref="G5:K5"/>
    <mergeCell ref="M5:N5"/>
    <mergeCell ref="H6:J6"/>
    <mergeCell ref="M7:N7"/>
    <mergeCell ref="M9:N9"/>
    <mergeCell ref="Q8:S8"/>
    <mergeCell ref="Q9:S9"/>
    <mergeCell ref="Q10:S10"/>
    <mergeCell ref="Q11:S11"/>
    <mergeCell ref="Q13:S13"/>
    <mergeCell ref="Q15:S15"/>
    <mergeCell ref="Q14:S14"/>
    <mergeCell ref="N15:O15"/>
    <mergeCell ref="M10:O10"/>
    <mergeCell ref="Q16:S16"/>
    <mergeCell ref="S34:T34"/>
    <mergeCell ref="S35:T35"/>
    <mergeCell ref="S36:T36"/>
    <mergeCell ref="A1:E6"/>
    <mergeCell ref="B8:D8"/>
    <mergeCell ref="B9:D9"/>
    <mergeCell ref="B10:D10"/>
    <mergeCell ref="B20:D20"/>
    <mergeCell ref="B23:C23"/>
    <mergeCell ref="B24:C24"/>
    <mergeCell ref="B25:C25"/>
    <mergeCell ref="B26:C26"/>
    <mergeCell ref="B11:D11"/>
    <mergeCell ref="B13:D13"/>
    <mergeCell ref="B15:D15"/>
    <mergeCell ref="B16:D16"/>
    <mergeCell ref="B17:D17"/>
    <mergeCell ref="B14:D14"/>
    <mergeCell ref="B19:D19"/>
    <mergeCell ref="J47:K47"/>
    <mergeCell ref="B38:C38"/>
    <mergeCell ref="B39:C39"/>
    <mergeCell ref="B37:C37"/>
    <mergeCell ref="B41:C41"/>
    <mergeCell ref="B42:C42"/>
    <mergeCell ref="B43:C43"/>
    <mergeCell ref="B44:C44"/>
    <mergeCell ref="B31:C31"/>
    <mergeCell ref="B40:F40"/>
    <mergeCell ref="J46:K46"/>
    <mergeCell ref="H46:I46"/>
    <mergeCell ref="H47:I47"/>
    <mergeCell ref="B46:C46"/>
    <mergeCell ref="B47:C47"/>
    <mergeCell ref="I37:J37"/>
    <mergeCell ref="I44:J44"/>
    <mergeCell ref="I36:J36"/>
    <mergeCell ref="I35:J35"/>
    <mergeCell ref="I34:J34"/>
    <mergeCell ref="I33:J33"/>
    <mergeCell ref="I32:J32"/>
    <mergeCell ref="I31:J31"/>
    <mergeCell ref="B45:C45"/>
    <mergeCell ref="I45:J45"/>
    <mergeCell ref="AP25:AQ25"/>
    <mergeCell ref="AP26:AQ26"/>
    <mergeCell ref="B32:C32"/>
    <mergeCell ref="B33:C33"/>
    <mergeCell ref="B30:C30"/>
    <mergeCell ref="B27:C27"/>
    <mergeCell ref="B34:C34"/>
    <mergeCell ref="B35:C35"/>
    <mergeCell ref="I43:J43"/>
    <mergeCell ref="I42:J42"/>
    <mergeCell ref="I41:J41"/>
    <mergeCell ref="I40:J40"/>
    <mergeCell ref="I39:J39"/>
    <mergeCell ref="I38:J38"/>
    <mergeCell ref="N40:O40"/>
    <mergeCell ref="N41:O41"/>
    <mergeCell ref="N42:O42"/>
    <mergeCell ref="N43:O43"/>
    <mergeCell ref="N44:O44"/>
    <mergeCell ref="N45:O45"/>
    <mergeCell ref="S37:T37"/>
    <mergeCell ref="S38:T38"/>
    <mergeCell ref="S33:T33"/>
    <mergeCell ref="M47:N47"/>
    <mergeCell ref="O47:P47"/>
    <mergeCell ref="AA25:AF25"/>
    <mergeCell ref="AA26:AF26"/>
    <mergeCell ref="AA27:AF27"/>
    <mergeCell ref="AA28:AF28"/>
    <mergeCell ref="AA29:AF29"/>
    <mergeCell ref="AA30:AF30"/>
    <mergeCell ref="AA31:AF31"/>
    <mergeCell ref="AA32:AF32"/>
    <mergeCell ref="N39:O39"/>
    <mergeCell ref="S39:T39"/>
    <mergeCell ref="S40:T40"/>
    <mergeCell ref="S41:T41"/>
    <mergeCell ref="S42:T42"/>
    <mergeCell ref="S43:T43"/>
    <mergeCell ref="S44:T44"/>
    <mergeCell ref="S45:T45"/>
    <mergeCell ref="S27:T27"/>
    <mergeCell ref="S28:T28"/>
    <mergeCell ref="S29:T29"/>
    <mergeCell ref="S30:T30"/>
    <mergeCell ref="S31:T31"/>
    <mergeCell ref="S32:T32"/>
    <mergeCell ref="AO22:AQ22"/>
    <mergeCell ref="AP23:AQ23"/>
    <mergeCell ref="AP24:AQ24"/>
    <mergeCell ref="N16:O16"/>
    <mergeCell ref="N17:O17"/>
    <mergeCell ref="N18:O18"/>
    <mergeCell ref="M20:N20"/>
    <mergeCell ref="AA20:AF20"/>
    <mergeCell ref="AA21:AF21"/>
    <mergeCell ref="AA22:AF22"/>
    <mergeCell ref="AA23:AF23"/>
    <mergeCell ref="AA24:AF24"/>
    <mergeCell ref="V16:W16"/>
    <mergeCell ref="R23:S23"/>
    <mergeCell ref="S24:T24"/>
    <mergeCell ref="W23:X23"/>
    <mergeCell ref="X24:Y24"/>
    <mergeCell ref="N24:O24"/>
    <mergeCell ref="H48:I48"/>
    <mergeCell ref="H49:I49"/>
    <mergeCell ref="H50:I50"/>
    <mergeCell ref="H51:I51"/>
    <mergeCell ref="H52:I52"/>
    <mergeCell ref="B53:C53"/>
    <mergeCell ref="B49:C49"/>
    <mergeCell ref="B50:C50"/>
    <mergeCell ref="B51:C51"/>
    <mergeCell ref="B52:C52"/>
    <mergeCell ref="B48:C48"/>
    <mergeCell ref="O49:P49"/>
    <mergeCell ref="B54:C54"/>
    <mergeCell ref="B55:C55"/>
    <mergeCell ref="B56:C56"/>
    <mergeCell ref="B68:C68"/>
    <mergeCell ref="B69:C69"/>
    <mergeCell ref="J53:K53"/>
    <mergeCell ref="J48:K48"/>
    <mergeCell ref="J49:K49"/>
    <mergeCell ref="J50:K50"/>
    <mergeCell ref="J51:K51"/>
    <mergeCell ref="J52:K52"/>
    <mergeCell ref="O50:P50"/>
    <mergeCell ref="M53:N53"/>
    <mergeCell ref="M52:N52"/>
    <mergeCell ref="M51:N51"/>
    <mergeCell ref="O53:P53"/>
    <mergeCell ref="O51:P51"/>
    <mergeCell ref="O52:P52"/>
    <mergeCell ref="M50:N50"/>
    <mergeCell ref="O48:P48"/>
    <mergeCell ref="H53:I53"/>
    <mergeCell ref="M48:N48"/>
    <mergeCell ref="M49:N49"/>
    <mergeCell ref="N31:O31"/>
    <mergeCell ref="N32:O32"/>
    <mergeCell ref="N33:O33"/>
    <mergeCell ref="N34:O34"/>
    <mergeCell ref="N35:O35"/>
    <mergeCell ref="N36:O36"/>
    <mergeCell ref="N37:O37"/>
    <mergeCell ref="N38:O38"/>
    <mergeCell ref="S25:T25"/>
    <mergeCell ref="S26:T26"/>
    <mergeCell ref="X30:Y30"/>
    <mergeCell ref="X31:Y31"/>
    <mergeCell ref="X32:Y32"/>
    <mergeCell ref="X33:Y33"/>
    <mergeCell ref="X43:Y43"/>
    <mergeCell ref="X44:Y44"/>
    <mergeCell ref="X45:Y45"/>
    <mergeCell ref="X34:Y34"/>
    <mergeCell ref="X35:Y35"/>
    <mergeCell ref="X36:Y36"/>
    <mergeCell ref="X37:Y37"/>
    <mergeCell ref="X38:Y38"/>
    <mergeCell ref="X39:Y39"/>
    <mergeCell ref="X40:Y40"/>
    <mergeCell ref="X41:Y41"/>
    <mergeCell ref="X42:Y42"/>
  </mergeCells>
  <conditionalFormatting sqref="H24:H44">
    <cfRule type="cellIs" dxfId="29" priority="104" operator="equal">
      <formula>0</formula>
    </cfRule>
  </conditionalFormatting>
  <conditionalFormatting sqref="H11:K11">
    <cfRule type="cellIs" dxfId="28" priority="67" operator="greaterThanOrEqual">
      <formula>1</formula>
    </cfRule>
  </conditionalFormatting>
  <conditionalFormatting sqref="M24:M44">
    <cfRule type="cellIs" dxfId="27" priority="66" operator="equal">
      <formula>0</formula>
    </cfRule>
  </conditionalFormatting>
  <conditionalFormatting sqref="R24:R44">
    <cfRule type="cellIs" dxfId="26" priority="44" operator="equal">
      <formula>0</formula>
    </cfRule>
  </conditionalFormatting>
  <conditionalFormatting sqref="W24:W44">
    <cfRule type="cellIs" dxfId="25" priority="22" operator="equal">
      <formula>0</formula>
    </cfRule>
  </conditionalFormatting>
  <dataValidations count="3">
    <dataValidation type="list" allowBlank="1" showInputMessage="1" showErrorMessage="1" sqref="H23:I23 N75:O75 R75:S75 V75:W75 M23:N23 R23:S23 W23:X23">
      <formula1>SECTORS</formula1>
    </dataValidation>
    <dataValidation type="list" allowBlank="1" showInputMessage="1" showErrorMessage="1" sqref="N15:O18">
      <formula1>Tactical</formula1>
    </dataValidation>
    <dataValidation type="list" allowBlank="1" showInputMessage="1" sqref="I24:I29">
      <formula1>INDIRECT($C$7)</formula1>
    </dataValidation>
  </dataValidations>
  <pageMargins left="0.7" right="0.7" top="0.75" bottom="0.75" header="0.3" footer="0.3"/>
  <pageSetup paperSize="9" scale="43" orientation="landscape" r:id="rId1"/>
  <ignoredErrors>
    <ignoredError sqref="H24:H44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8" id="{A5F2D55E-E715-46A1-AF03-21F273C1AA2B}">
            <xm:f>'Sector Skills'!$N$28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H26:K26</xm:sqref>
        </x14:conditionalFormatting>
        <x14:conditionalFormatting xmlns:xm="http://schemas.microsoft.com/office/excel/2006/main">
          <x14:cfRule type="expression" priority="87" id="{28585C4D-6C1C-460E-9221-4F221B7D28C3}">
            <xm:f>'Sector Skills'!$N$27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H25:K25</xm:sqref>
        </x14:conditionalFormatting>
        <x14:conditionalFormatting xmlns:xm="http://schemas.microsoft.com/office/excel/2006/main">
          <x14:cfRule type="expression" priority="86" id="{E1206A19-2686-4CD0-9C88-8C348266F0A3}">
            <xm:f>'Sector Skills'!$N$26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H24:K24</xm:sqref>
        </x14:conditionalFormatting>
        <x14:conditionalFormatting xmlns:xm="http://schemas.microsoft.com/office/excel/2006/main">
          <x14:cfRule type="expression" priority="85" id="{0E9B0FAF-2732-4806-AD14-847CB4FBE7C8}">
            <xm:f>'Sector Skills'!$N$29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H27:K27</xm:sqref>
        </x14:conditionalFormatting>
        <x14:conditionalFormatting xmlns:xm="http://schemas.microsoft.com/office/excel/2006/main">
          <x14:cfRule type="expression" priority="84" id="{AD88AC12-4BF1-4BFE-83B1-FD588A89C5B5}">
            <xm:f>'Sector Skills'!$N$30</xm:f>
            <x14:dxf>
              <fill>
                <gradientFill degree="90">
                  <stop position="0">
                    <color rgb="FFFFFF00"/>
                  </stop>
                  <stop position="1">
                    <color rgb="FFFC2D28"/>
                  </stop>
                </gradientFill>
              </fill>
            </x14:dxf>
          </x14:cfRule>
          <xm:sqref>H28:K28</xm:sqref>
        </x14:conditionalFormatting>
        <x14:conditionalFormatting xmlns:xm="http://schemas.microsoft.com/office/excel/2006/main">
          <x14:cfRule type="expression" priority="83" id="{8AE7CCC2-400A-4C96-9A67-C091C2ECC08A}">
            <xm:f>'Sector Skills'!$N$31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H29:K29</xm:sqref>
        </x14:conditionalFormatting>
        <x14:conditionalFormatting xmlns:xm="http://schemas.microsoft.com/office/excel/2006/main">
          <x14:cfRule type="expression" priority="82" id="{D7B0D0AC-DB19-4D6C-ADE4-300E8337510C}">
            <xm:f>'Sector Skills'!$N$32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H30:K30</xm:sqref>
        </x14:conditionalFormatting>
        <x14:conditionalFormatting xmlns:xm="http://schemas.microsoft.com/office/excel/2006/main">
          <x14:cfRule type="expression" priority="81" id="{C63BC1B1-EEB1-43C4-9BBD-F6B2A491FDAA}">
            <xm:f>'Sector Skills'!$N$33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H31:K31</xm:sqref>
        </x14:conditionalFormatting>
        <x14:conditionalFormatting xmlns:xm="http://schemas.microsoft.com/office/excel/2006/main">
          <x14:cfRule type="expression" priority="80" id="{B99FCB73-C115-42DD-8A23-FE6CDDF67A06}">
            <xm:f>'Sector Skills'!$N$34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H32:K32</xm:sqref>
        </x14:conditionalFormatting>
        <x14:conditionalFormatting xmlns:xm="http://schemas.microsoft.com/office/excel/2006/main">
          <x14:cfRule type="expression" priority="79" id="{7C790629-ED3A-4E82-887D-FDFD015BCCDE}">
            <xm:f>'Sector Skills'!$N$35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H33:K33</xm:sqref>
        </x14:conditionalFormatting>
        <x14:conditionalFormatting xmlns:xm="http://schemas.microsoft.com/office/excel/2006/main">
          <x14:cfRule type="expression" priority="78" id="{11C521E3-EECE-44E7-AEC9-0216D6BFFC31}">
            <xm:f>'Sector Skills'!$N$36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H34:K34</xm:sqref>
        </x14:conditionalFormatting>
        <x14:conditionalFormatting xmlns:xm="http://schemas.microsoft.com/office/excel/2006/main">
          <x14:cfRule type="expression" priority="77" id="{01506B3F-759E-41C4-ACBD-276AEFCDEF4B}">
            <xm:f>'Sector Skills'!$N$37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H35:K35</xm:sqref>
        </x14:conditionalFormatting>
        <x14:conditionalFormatting xmlns:xm="http://schemas.microsoft.com/office/excel/2006/main">
          <x14:cfRule type="expression" priority="76" id="{F07D028B-A0A4-4A85-8CD3-6062427097E6}">
            <xm:f>'Sector Skills'!$N$38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H36:K36</xm:sqref>
        </x14:conditionalFormatting>
        <x14:conditionalFormatting xmlns:xm="http://schemas.microsoft.com/office/excel/2006/main">
          <x14:cfRule type="expression" priority="75" id="{84097AE9-BD29-4C3E-B673-03D506BFD535}">
            <xm:f>'Sector Skills'!$N$39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H37:K37</xm:sqref>
        </x14:conditionalFormatting>
        <x14:conditionalFormatting xmlns:xm="http://schemas.microsoft.com/office/excel/2006/main">
          <x14:cfRule type="expression" priority="74" id="{889D37C1-CE58-4524-8488-519EEE75A1C5}">
            <xm:f>'Sector Skills'!$N$40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H38:K38</xm:sqref>
        </x14:conditionalFormatting>
        <x14:conditionalFormatting xmlns:xm="http://schemas.microsoft.com/office/excel/2006/main">
          <x14:cfRule type="expression" priority="73" id="{E3C35831-CEC9-4B93-858A-FA01A46BB76A}">
            <xm:f>'Sector Skills'!$N$41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H39:K39</xm:sqref>
        </x14:conditionalFormatting>
        <x14:conditionalFormatting xmlns:xm="http://schemas.microsoft.com/office/excel/2006/main">
          <x14:cfRule type="expression" priority="72" id="{598F907B-E9DA-48E7-898F-90DABBA42146}">
            <xm:f>'Sector Skills'!$N$42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H40:K40</xm:sqref>
        </x14:conditionalFormatting>
        <x14:conditionalFormatting xmlns:xm="http://schemas.microsoft.com/office/excel/2006/main">
          <x14:cfRule type="expression" priority="71" id="{C9B720A7-D24B-4D47-B9C5-771AF46A1DB1}">
            <xm:f>'Sector Skills'!$N$43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H41:K41</xm:sqref>
        </x14:conditionalFormatting>
        <x14:conditionalFormatting xmlns:xm="http://schemas.microsoft.com/office/excel/2006/main">
          <x14:cfRule type="expression" priority="70" id="{96C358D2-8B45-4B2F-A4BB-40407D3369A9}">
            <xm:f>'Sector Skills'!$N$44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H42:K42</xm:sqref>
        </x14:conditionalFormatting>
        <x14:conditionalFormatting xmlns:xm="http://schemas.microsoft.com/office/excel/2006/main">
          <x14:cfRule type="expression" priority="69" id="{216DA872-91E4-4E8E-9CC9-9FA7D9A418FB}">
            <xm:f>'Sector Skills'!$N$45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H43:K43</xm:sqref>
        </x14:conditionalFormatting>
        <x14:conditionalFormatting xmlns:xm="http://schemas.microsoft.com/office/excel/2006/main">
          <x14:cfRule type="expression" priority="68" id="{6BA9A70F-B3C7-479D-835B-5459062CB5A5}">
            <xm:f>'Sector Skills'!$N$46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H44:K44</xm:sqref>
        </x14:conditionalFormatting>
        <x14:conditionalFormatting xmlns:xm="http://schemas.microsoft.com/office/excel/2006/main">
          <x14:cfRule type="expression" priority="63" id="{34ACE8C0-4D65-47A6-B090-2076A6A1326A}">
            <xm:f>'Sector Skills'!$N$51</xm:f>
            <x14:dxf>
              <fill>
                <patternFill>
                  <bgColor rgb="FF00B050"/>
                </patternFill>
              </fill>
            </x14:dxf>
          </x14:cfRule>
          <xm:sqref>P24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  <pageSetUpPr fitToPage="1"/>
  </sheetPr>
  <dimension ref="A1:EF194"/>
  <sheetViews>
    <sheetView showZeros="0" zoomScale="85" zoomScaleNormal="85" workbookViewId="0">
      <selection activeCell="C7" sqref="C7:E8"/>
    </sheetView>
  </sheetViews>
  <sheetFormatPr defaultRowHeight="14.4" x14ac:dyDescent="0.3"/>
  <cols>
    <col min="2" max="2" width="9.5546875" customWidth="1"/>
    <col min="6" max="7" width="9.109375" customWidth="1"/>
    <col min="8" max="8" width="1.33203125" customWidth="1"/>
    <col min="15" max="15" width="1.6640625" customWidth="1"/>
    <col min="25" max="39" width="0" hidden="1" customWidth="1"/>
  </cols>
  <sheetData>
    <row r="1" spans="1:136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</row>
    <row r="2" spans="1:136" ht="15" x14ac:dyDescent="0.25">
      <c r="A2" s="91"/>
      <c r="B2" s="92"/>
      <c r="C2" s="91"/>
      <c r="D2" s="91"/>
      <c r="E2" s="91"/>
      <c r="F2" s="91"/>
      <c r="G2" s="91"/>
      <c r="H2" s="9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</row>
    <row r="3" spans="1:136" ht="15" x14ac:dyDescent="0.25">
      <c r="A3" s="91"/>
      <c r="B3" s="92"/>
      <c r="C3" s="91"/>
      <c r="D3" s="91"/>
      <c r="E3" s="91"/>
      <c r="F3" s="91"/>
      <c r="G3" s="91"/>
      <c r="H3" s="91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</row>
    <row r="4" spans="1:136" ht="15.75" x14ac:dyDescent="0.25">
      <c r="A4" s="91"/>
      <c r="B4" s="92"/>
      <c r="C4" s="91"/>
      <c r="D4" s="91"/>
      <c r="E4" s="91"/>
      <c r="F4" s="91"/>
      <c r="G4" s="91"/>
      <c r="H4" s="91"/>
      <c r="I4" s="4"/>
      <c r="J4" s="327"/>
      <c r="K4" s="328"/>
      <c r="L4" s="328"/>
      <c r="M4" s="328"/>
      <c r="N4" s="328"/>
      <c r="O4" s="328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</row>
    <row r="5" spans="1:136" ht="15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</row>
    <row r="6" spans="1:136" ht="15" customHeight="1" x14ac:dyDescent="0.3">
      <c r="A6" s="91"/>
      <c r="B6" s="322">
        <v>1</v>
      </c>
      <c r="C6" s="316"/>
      <c r="D6" s="317"/>
      <c r="E6" s="317"/>
      <c r="F6" s="93"/>
      <c r="G6" s="93"/>
      <c r="H6" s="91"/>
      <c r="I6" s="322">
        <v>6</v>
      </c>
      <c r="J6" s="316"/>
      <c r="K6" s="326"/>
      <c r="L6" s="317"/>
      <c r="M6" s="93"/>
      <c r="N6" s="93"/>
      <c r="O6" s="4"/>
      <c r="P6" s="23">
        <v>1</v>
      </c>
      <c r="Q6" s="316"/>
      <c r="R6" s="326"/>
      <c r="S6" s="317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</row>
    <row r="7" spans="1:136" ht="14.25" customHeight="1" x14ac:dyDescent="0.3">
      <c r="A7" s="91"/>
      <c r="B7" s="322"/>
      <c r="C7" s="324"/>
      <c r="D7" s="324"/>
      <c r="E7" s="324"/>
      <c r="F7" s="93" t="s">
        <v>45</v>
      </c>
      <c r="G7" s="93" t="s">
        <v>46</v>
      </c>
      <c r="H7" s="91"/>
      <c r="I7" s="323"/>
      <c r="J7" s="324"/>
      <c r="K7" s="325"/>
      <c r="L7" s="325"/>
      <c r="M7" s="93" t="s">
        <v>45</v>
      </c>
      <c r="N7" s="93" t="s">
        <v>46</v>
      </c>
      <c r="O7" s="4"/>
      <c r="P7" s="24" t="s">
        <v>196</v>
      </c>
      <c r="Q7" s="318"/>
      <c r="R7" s="319"/>
      <c r="S7" s="319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</row>
    <row r="8" spans="1:136" ht="15" customHeight="1" x14ac:dyDescent="0.3">
      <c r="A8" s="91"/>
      <c r="B8" s="89" t="s">
        <v>20</v>
      </c>
      <c r="C8" s="324"/>
      <c r="D8" s="324"/>
      <c r="E8" s="324"/>
      <c r="F8" s="179"/>
      <c r="G8" s="180">
        <f>(Summary!F24)</f>
        <v>0</v>
      </c>
      <c r="H8" s="91"/>
      <c r="I8" s="89" t="s">
        <v>20</v>
      </c>
      <c r="J8" s="325"/>
      <c r="K8" s="325"/>
      <c r="L8" s="325"/>
      <c r="M8" s="179"/>
      <c r="N8" s="170">
        <f>(Summary!F29)</f>
        <v>0</v>
      </c>
      <c r="O8" s="4"/>
      <c r="P8" s="25" t="s">
        <v>20</v>
      </c>
      <c r="Q8" s="319"/>
      <c r="R8" s="319"/>
      <c r="S8" s="319"/>
      <c r="T8" s="179"/>
      <c r="U8" s="170">
        <f>(Summary!F34)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</row>
    <row r="9" spans="1:136" x14ac:dyDescent="0.3">
      <c r="A9" s="4"/>
      <c r="B9" s="89" t="s">
        <v>10</v>
      </c>
      <c r="C9" s="128" t="str">
        <f>Sheet2!B28</f>
        <v/>
      </c>
      <c r="D9" s="279"/>
      <c r="E9" s="279"/>
      <c r="F9" s="170"/>
      <c r="G9" s="118"/>
      <c r="H9" s="4"/>
      <c r="I9" s="89" t="s">
        <v>10</v>
      </c>
      <c r="J9" s="253"/>
      <c r="K9" s="320"/>
      <c r="L9" s="320"/>
      <c r="M9" s="170"/>
      <c r="N9" s="118"/>
      <c r="O9" s="4"/>
      <c r="P9" s="21" t="s">
        <v>10</v>
      </c>
      <c r="Q9" s="253"/>
      <c r="R9" s="320"/>
      <c r="S9" s="320"/>
      <c r="T9" s="170"/>
      <c r="U9" s="11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</row>
    <row r="10" spans="1:136" x14ac:dyDescent="0.3">
      <c r="A10" s="4"/>
      <c r="B10" s="89" t="s">
        <v>42</v>
      </c>
      <c r="C10" s="128" t="str">
        <f>Sheet2!B29</f>
        <v/>
      </c>
      <c r="D10" s="279"/>
      <c r="E10" s="279"/>
      <c r="F10" s="170"/>
      <c r="G10" s="118"/>
      <c r="H10" s="4"/>
      <c r="I10" s="89" t="s">
        <v>42</v>
      </c>
      <c r="J10" s="253"/>
      <c r="K10" s="320"/>
      <c r="L10" s="320"/>
      <c r="M10" s="170"/>
      <c r="N10" s="118"/>
      <c r="O10" s="4"/>
      <c r="P10" s="21" t="s">
        <v>42</v>
      </c>
      <c r="Q10" s="253"/>
      <c r="R10" s="320"/>
      <c r="S10" s="320"/>
      <c r="T10" s="170"/>
      <c r="U10" s="11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</row>
    <row r="11" spans="1:136" x14ac:dyDescent="0.3">
      <c r="A11" s="4"/>
      <c r="B11" s="89" t="s">
        <v>12</v>
      </c>
      <c r="C11" s="128" t="str">
        <f>Sheet2!B30</f>
        <v/>
      </c>
      <c r="D11" s="279"/>
      <c r="E11" s="279"/>
      <c r="F11" s="170"/>
      <c r="G11" s="118"/>
      <c r="H11" s="4"/>
      <c r="I11" s="89" t="s">
        <v>12</v>
      </c>
      <c r="J11" s="253"/>
      <c r="K11" s="320"/>
      <c r="L11" s="320"/>
      <c r="M11" s="170"/>
      <c r="N11" s="118"/>
      <c r="O11" s="4"/>
      <c r="P11" s="21" t="s">
        <v>12</v>
      </c>
      <c r="Q11" s="253"/>
      <c r="R11" s="320"/>
      <c r="S11" s="320"/>
      <c r="T11" s="170"/>
      <c r="U11" s="11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</row>
    <row r="12" spans="1:136" x14ac:dyDescent="0.3">
      <c r="A12" s="4"/>
      <c r="B12" s="89" t="s">
        <v>12</v>
      </c>
      <c r="C12" s="128" t="str">
        <f>Sheet2!B31</f>
        <v/>
      </c>
      <c r="D12" s="279"/>
      <c r="E12" s="279"/>
      <c r="F12" s="170"/>
      <c r="G12" s="118"/>
      <c r="H12" s="4"/>
      <c r="I12" s="89" t="s">
        <v>12</v>
      </c>
      <c r="J12" s="253"/>
      <c r="K12" s="320"/>
      <c r="L12" s="320"/>
      <c r="M12" s="170"/>
      <c r="N12" s="118"/>
      <c r="O12" s="4"/>
      <c r="P12" s="21" t="s">
        <v>12</v>
      </c>
      <c r="Q12" s="253"/>
      <c r="R12" s="320"/>
      <c r="S12" s="320"/>
      <c r="T12" s="170"/>
      <c r="U12" s="11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</row>
    <row r="13" spans="1:136" x14ac:dyDescent="0.3">
      <c r="A13" s="4"/>
      <c r="B13" s="89" t="s">
        <v>43</v>
      </c>
      <c r="C13" s="128" t="str">
        <f>Sheet2!B32</f>
        <v/>
      </c>
      <c r="D13" s="279"/>
      <c r="E13" s="279"/>
      <c r="F13" s="170"/>
      <c r="G13" s="118"/>
      <c r="H13" s="4"/>
      <c r="I13" s="89" t="s">
        <v>43</v>
      </c>
      <c r="J13" s="253"/>
      <c r="K13" s="320"/>
      <c r="L13" s="320"/>
      <c r="M13" s="170"/>
      <c r="N13" s="118"/>
      <c r="O13" s="4"/>
      <c r="P13" s="21" t="s">
        <v>43</v>
      </c>
      <c r="Q13" s="253"/>
      <c r="R13" s="320"/>
      <c r="S13" s="320"/>
      <c r="T13" s="170"/>
      <c r="U13" s="11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</row>
    <row r="14" spans="1:136" x14ac:dyDescent="0.3">
      <c r="A14" s="4"/>
      <c r="B14" s="89" t="s">
        <v>44</v>
      </c>
      <c r="C14" s="128" t="str">
        <f>Sheet2!B33</f>
        <v/>
      </c>
      <c r="D14" s="279"/>
      <c r="E14" s="279"/>
      <c r="F14" s="170"/>
      <c r="G14" s="118"/>
      <c r="H14" s="4"/>
      <c r="I14" s="89" t="s">
        <v>44</v>
      </c>
      <c r="J14" s="253"/>
      <c r="K14" s="320"/>
      <c r="L14" s="320"/>
      <c r="M14" s="170"/>
      <c r="N14" s="118"/>
      <c r="O14" s="4"/>
      <c r="P14" s="21" t="s">
        <v>44</v>
      </c>
      <c r="Q14" s="253"/>
      <c r="R14" s="320"/>
      <c r="S14" s="320"/>
      <c r="T14" s="170"/>
      <c r="U14" s="11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</row>
    <row r="15" spans="1:136" x14ac:dyDescent="0.3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</row>
    <row r="16" spans="1:136" ht="15" customHeight="1" x14ac:dyDescent="0.3">
      <c r="A16" s="4"/>
      <c r="B16" s="322">
        <v>2</v>
      </c>
      <c r="C16" s="316"/>
      <c r="D16" s="316"/>
      <c r="E16" s="317"/>
      <c r="F16" s="93"/>
      <c r="G16" s="93"/>
      <c r="H16" s="4"/>
      <c r="I16" s="322">
        <v>7</v>
      </c>
      <c r="J16" s="316"/>
      <c r="K16" s="326"/>
      <c r="L16" s="317"/>
      <c r="M16" s="93"/>
      <c r="N16" s="93"/>
      <c r="O16" s="4"/>
      <c r="P16" s="23">
        <v>2</v>
      </c>
      <c r="Q16" s="316"/>
      <c r="R16" s="326"/>
      <c r="S16" s="317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58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</row>
    <row r="17" spans="1:136" ht="15" customHeight="1" x14ac:dyDescent="0.3">
      <c r="A17" s="4"/>
      <c r="B17" s="322"/>
      <c r="C17" s="324"/>
      <c r="D17" s="324"/>
      <c r="E17" s="324"/>
      <c r="F17" s="93" t="s">
        <v>45</v>
      </c>
      <c r="G17" s="93" t="s">
        <v>46</v>
      </c>
      <c r="H17" s="4"/>
      <c r="I17" s="323"/>
      <c r="J17" s="324"/>
      <c r="K17" s="325"/>
      <c r="L17" s="325"/>
      <c r="M17" s="93" t="s">
        <v>45</v>
      </c>
      <c r="N17" s="93" t="s">
        <v>46</v>
      </c>
      <c r="O17" s="4"/>
      <c r="P17" s="24" t="s">
        <v>196</v>
      </c>
      <c r="Q17" s="318"/>
      <c r="R17" s="319"/>
      <c r="S17" s="319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</row>
    <row r="18" spans="1:136" ht="15" customHeight="1" x14ac:dyDescent="0.3">
      <c r="A18" s="4"/>
      <c r="B18" s="89" t="s">
        <v>20</v>
      </c>
      <c r="C18" s="324"/>
      <c r="D18" s="324"/>
      <c r="E18" s="324"/>
      <c r="F18" s="179"/>
      <c r="G18" s="170">
        <f>(Summary!F25)</f>
        <v>0</v>
      </c>
      <c r="H18" s="4"/>
      <c r="I18" s="89" t="s">
        <v>20</v>
      </c>
      <c r="J18" s="325"/>
      <c r="K18" s="325"/>
      <c r="L18" s="325"/>
      <c r="M18" s="179"/>
      <c r="N18" s="170">
        <f>(Summary!F30)</f>
        <v>0</v>
      </c>
      <c r="O18" s="4"/>
      <c r="P18" s="25" t="s">
        <v>20</v>
      </c>
      <c r="Q18" s="319"/>
      <c r="R18" s="319"/>
      <c r="S18" s="319"/>
      <c r="T18" s="179"/>
      <c r="U18" s="170">
        <f>(Summary!F35)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</row>
    <row r="19" spans="1:136" ht="15" customHeight="1" x14ac:dyDescent="0.3">
      <c r="A19" s="4"/>
      <c r="B19" s="89" t="s">
        <v>10</v>
      </c>
      <c r="C19" s="128" t="str">
        <f>Sheet2!B34</f>
        <v/>
      </c>
      <c r="D19" s="279"/>
      <c r="E19" s="279"/>
      <c r="F19" s="170"/>
      <c r="G19" s="118"/>
      <c r="H19" s="4"/>
      <c r="I19" s="89" t="s">
        <v>10</v>
      </c>
      <c r="J19" s="253"/>
      <c r="K19" s="320"/>
      <c r="L19" s="320"/>
      <c r="M19" s="170"/>
      <c r="N19" s="118"/>
      <c r="O19" s="4"/>
      <c r="P19" s="21" t="s">
        <v>10</v>
      </c>
      <c r="Q19" s="253"/>
      <c r="R19" s="320"/>
      <c r="S19" s="320"/>
      <c r="T19" s="170"/>
      <c r="U19" s="11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</row>
    <row r="20" spans="1:136" x14ac:dyDescent="0.3">
      <c r="A20" s="4"/>
      <c r="B20" s="89" t="s">
        <v>42</v>
      </c>
      <c r="C20" s="128" t="str">
        <f>Sheet2!B35</f>
        <v/>
      </c>
      <c r="D20" s="279"/>
      <c r="E20" s="279"/>
      <c r="F20" s="170"/>
      <c r="G20" s="118"/>
      <c r="H20" s="4"/>
      <c r="I20" s="89" t="s">
        <v>42</v>
      </c>
      <c r="J20" s="253"/>
      <c r="K20" s="320"/>
      <c r="L20" s="320"/>
      <c r="M20" s="170"/>
      <c r="N20" s="118"/>
      <c r="O20" s="4"/>
      <c r="P20" s="21" t="s">
        <v>42</v>
      </c>
      <c r="Q20" s="253"/>
      <c r="R20" s="320"/>
      <c r="S20" s="320"/>
      <c r="T20" s="170"/>
      <c r="U20" s="11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</row>
    <row r="21" spans="1:136" x14ac:dyDescent="0.3">
      <c r="A21" s="4"/>
      <c r="B21" s="89" t="s">
        <v>12</v>
      </c>
      <c r="C21" s="128" t="str">
        <f>Sheet2!B36</f>
        <v/>
      </c>
      <c r="D21" s="279"/>
      <c r="E21" s="279"/>
      <c r="F21" s="170"/>
      <c r="G21" s="118"/>
      <c r="H21" s="4"/>
      <c r="I21" s="89" t="s">
        <v>12</v>
      </c>
      <c r="J21" s="253"/>
      <c r="K21" s="320"/>
      <c r="L21" s="320"/>
      <c r="M21" s="170"/>
      <c r="N21" s="118"/>
      <c r="O21" s="4"/>
      <c r="P21" s="21" t="s">
        <v>12</v>
      </c>
      <c r="Q21" s="253"/>
      <c r="R21" s="320"/>
      <c r="S21" s="320"/>
      <c r="T21" s="170"/>
      <c r="U21" s="11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</row>
    <row r="22" spans="1:136" x14ac:dyDescent="0.3">
      <c r="A22" s="4"/>
      <c r="B22" s="89" t="s">
        <v>12</v>
      </c>
      <c r="C22" s="128" t="str">
        <f>Sheet2!B37</f>
        <v/>
      </c>
      <c r="D22" s="279"/>
      <c r="E22" s="279"/>
      <c r="F22" s="170"/>
      <c r="G22" s="118"/>
      <c r="H22" s="4"/>
      <c r="I22" s="89" t="s">
        <v>12</v>
      </c>
      <c r="J22" s="253"/>
      <c r="K22" s="320"/>
      <c r="L22" s="320"/>
      <c r="M22" s="170"/>
      <c r="N22" s="118"/>
      <c r="O22" s="4"/>
      <c r="P22" s="21" t="s">
        <v>12</v>
      </c>
      <c r="Q22" s="253"/>
      <c r="R22" s="320"/>
      <c r="S22" s="320"/>
      <c r="T22" s="170"/>
      <c r="U22" s="11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</row>
    <row r="23" spans="1:136" x14ac:dyDescent="0.3">
      <c r="A23" s="4"/>
      <c r="B23" s="89" t="s">
        <v>43</v>
      </c>
      <c r="C23" s="128" t="str">
        <f>Sheet2!B38</f>
        <v/>
      </c>
      <c r="D23" s="279"/>
      <c r="E23" s="279"/>
      <c r="F23" s="170"/>
      <c r="G23" s="118"/>
      <c r="H23" s="4"/>
      <c r="I23" s="89" t="s">
        <v>43</v>
      </c>
      <c r="J23" s="253"/>
      <c r="K23" s="320"/>
      <c r="L23" s="320"/>
      <c r="M23" s="170"/>
      <c r="N23" s="118"/>
      <c r="O23" s="4"/>
      <c r="P23" s="21" t="s">
        <v>43</v>
      </c>
      <c r="Q23" s="253"/>
      <c r="R23" s="320"/>
      <c r="S23" s="320"/>
      <c r="T23" s="170"/>
      <c r="U23" s="11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</row>
    <row r="24" spans="1:136" x14ac:dyDescent="0.3">
      <c r="A24" s="4"/>
      <c r="B24" s="89" t="s">
        <v>44</v>
      </c>
      <c r="C24" s="128" t="str">
        <f>Sheet2!B39</f>
        <v/>
      </c>
      <c r="D24" s="279"/>
      <c r="E24" s="279"/>
      <c r="F24" s="170"/>
      <c r="G24" s="118"/>
      <c r="H24" s="4"/>
      <c r="I24" s="89" t="s">
        <v>44</v>
      </c>
      <c r="J24" s="253"/>
      <c r="K24" s="320"/>
      <c r="L24" s="320"/>
      <c r="M24" s="170"/>
      <c r="N24" s="118"/>
      <c r="O24" s="4"/>
      <c r="P24" s="21" t="s">
        <v>44</v>
      </c>
      <c r="Q24" s="253"/>
      <c r="R24" s="320"/>
      <c r="S24" s="320"/>
      <c r="T24" s="170"/>
      <c r="U24" s="11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</row>
    <row r="25" spans="1:136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108"/>
      <c r="R25" s="108"/>
      <c r="S25" s="108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</row>
    <row r="26" spans="1:136" ht="15" customHeight="1" x14ac:dyDescent="0.3">
      <c r="A26" s="4"/>
      <c r="B26" s="322">
        <v>3</v>
      </c>
      <c r="C26" s="316"/>
      <c r="D26" s="326"/>
      <c r="E26" s="317"/>
      <c r="F26" s="93"/>
      <c r="G26" s="93"/>
      <c r="H26" s="4"/>
      <c r="I26" s="322">
        <v>8</v>
      </c>
      <c r="J26" s="316"/>
      <c r="K26" s="326"/>
      <c r="L26" s="317"/>
      <c r="M26" s="93"/>
      <c r="N26" s="93"/>
      <c r="O26" s="4"/>
      <c r="P26" s="23">
        <v>3</v>
      </c>
      <c r="Q26" s="316"/>
      <c r="R26" s="326"/>
      <c r="S26" s="317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</row>
    <row r="27" spans="1:136" ht="15" customHeight="1" x14ac:dyDescent="0.3">
      <c r="A27" s="4"/>
      <c r="B27" s="322"/>
      <c r="C27" s="324"/>
      <c r="D27" s="324"/>
      <c r="E27" s="324"/>
      <c r="F27" s="93" t="s">
        <v>45</v>
      </c>
      <c r="G27" s="93" t="s">
        <v>46</v>
      </c>
      <c r="H27" s="4"/>
      <c r="I27" s="323"/>
      <c r="J27" s="324"/>
      <c r="K27" s="325"/>
      <c r="L27" s="325"/>
      <c r="M27" s="93" t="s">
        <v>45</v>
      </c>
      <c r="N27" s="93" t="s">
        <v>46</v>
      </c>
      <c r="O27" s="4"/>
      <c r="P27" s="24" t="s">
        <v>196</v>
      </c>
      <c r="Q27" s="318"/>
      <c r="R27" s="319"/>
      <c r="S27" s="319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</row>
    <row r="28" spans="1:136" ht="15" customHeight="1" x14ac:dyDescent="0.3">
      <c r="A28" s="4"/>
      <c r="B28" s="89" t="s">
        <v>20</v>
      </c>
      <c r="C28" s="324"/>
      <c r="D28" s="324"/>
      <c r="E28" s="324"/>
      <c r="F28" s="179"/>
      <c r="G28" s="170">
        <f>(Summary!F26)</f>
        <v>0</v>
      </c>
      <c r="H28" s="4"/>
      <c r="I28" s="89" t="s">
        <v>20</v>
      </c>
      <c r="J28" s="325"/>
      <c r="K28" s="325"/>
      <c r="L28" s="325"/>
      <c r="M28" s="179"/>
      <c r="N28" s="170">
        <f>(Summary!F31)</f>
        <v>0</v>
      </c>
      <c r="O28" s="4"/>
      <c r="P28" s="25" t="s">
        <v>20</v>
      </c>
      <c r="Q28" s="319"/>
      <c r="R28" s="319"/>
      <c r="S28" s="319"/>
      <c r="T28" s="179"/>
      <c r="U28" s="170">
        <f>(Summary!F36)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</row>
    <row r="29" spans="1:136" x14ac:dyDescent="0.3">
      <c r="A29" s="4"/>
      <c r="B29" s="89" t="s">
        <v>10</v>
      </c>
      <c r="C29" s="216" t="str">
        <f>Sheet2!B40</f>
        <v/>
      </c>
      <c r="D29" s="279"/>
      <c r="E29" s="279"/>
      <c r="F29" s="170"/>
      <c r="G29" s="118"/>
      <c r="H29" s="4"/>
      <c r="I29" s="89" t="s">
        <v>10</v>
      </c>
      <c r="J29" s="253"/>
      <c r="K29" s="320"/>
      <c r="L29" s="320"/>
      <c r="M29" s="170"/>
      <c r="N29" s="118"/>
      <c r="O29" s="4"/>
      <c r="P29" s="21" t="s">
        <v>10</v>
      </c>
      <c r="Q29" s="253"/>
      <c r="R29" s="320"/>
      <c r="S29" s="320"/>
      <c r="T29" s="170"/>
      <c r="U29" s="11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</row>
    <row r="30" spans="1:136" x14ac:dyDescent="0.3">
      <c r="A30" s="4"/>
      <c r="B30" s="89" t="s">
        <v>42</v>
      </c>
      <c r="C30" s="253"/>
      <c r="D30" s="279"/>
      <c r="E30" s="279"/>
      <c r="F30" s="170"/>
      <c r="G30" s="118"/>
      <c r="H30" s="4"/>
      <c r="I30" s="89" t="s">
        <v>42</v>
      </c>
      <c r="J30" s="253"/>
      <c r="K30" s="320"/>
      <c r="L30" s="320"/>
      <c r="M30" s="170"/>
      <c r="N30" s="118"/>
      <c r="O30" s="4"/>
      <c r="P30" s="21" t="s">
        <v>42</v>
      </c>
      <c r="Q30" s="253"/>
      <c r="R30" s="320"/>
      <c r="S30" s="320"/>
      <c r="T30" s="170"/>
      <c r="U30" s="11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</row>
    <row r="31" spans="1:136" x14ac:dyDescent="0.3">
      <c r="A31" s="4"/>
      <c r="B31" s="89" t="s">
        <v>12</v>
      </c>
      <c r="C31" s="253"/>
      <c r="D31" s="279"/>
      <c r="E31" s="279"/>
      <c r="F31" s="170"/>
      <c r="G31" s="118"/>
      <c r="H31" s="4"/>
      <c r="I31" s="89" t="s">
        <v>12</v>
      </c>
      <c r="J31" s="253"/>
      <c r="K31" s="320"/>
      <c r="L31" s="320"/>
      <c r="M31" s="170"/>
      <c r="N31" s="118"/>
      <c r="O31" s="4"/>
      <c r="P31" s="21" t="s">
        <v>12</v>
      </c>
      <c r="Q31" s="253"/>
      <c r="R31" s="320"/>
      <c r="S31" s="320"/>
      <c r="T31" s="170"/>
      <c r="U31" s="11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</row>
    <row r="32" spans="1:136" x14ac:dyDescent="0.3">
      <c r="A32" s="4"/>
      <c r="B32" s="89" t="s">
        <v>12</v>
      </c>
      <c r="C32" s="253"/>
      <c r="D32" s="279"/>
      <c r="E32" s="279"/>
      <c r="F32" s="170"/>
      <c r="G32" s="118"/>
      <c r="H32" s="4"/>
      <c r="I32" s="89" t="s">
        <v>12</v>
      </c>
      <c r="J32" s="253"/>
      <c r="K32" s="320"/>
      <c r="L32" s="320"/>
      <c r="M32" s="170"/>
      <c r="N32" s="118"/>
      <c r="O32" s="4"/>
      <c r="P32" s="21" t="s">
        <v>12</v>
      </c>
      <c r="Q32" s="253"/>
      <c r="R32" s="320"/>
      <c r="S32" s="320"/>
      <c r="T32" s="170"/>
      <c r="U32" s="11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</row>
    <row r="33" spans="1:136" x14ac:dyDescent="0.3">
      <c r="A33" s="4"/>
      <c r="B33" s="89" t="s">
        <v>43</v>
      </c>
      <c r="C33" s="253"/>
      <c r="D33" s="279"/>
      <c r="E33" s="279"/>
      <c r="F33" s="170"/>
      <c r="G33" s="118"/>
      <c r="H33" s="4"/>
      <c r="I33" s="89" t="s">
        <v>43</v>
      </c>
      <c r="J33" s="253"/>
      <c r="K33" s="320"/>
      <c r="L33" s="320"/>
      <c r="M33" s="170"/>
      <c r="N33" s="118"/>
      <c r="O33" s="4"/>
      <c r="P33" s="21" t="s">
        <v>43</v>
      </c>
      <c r="Q33" s="253"/>
      <c r="R33" s="320"/>
      <c r="S33" s="320"/>
      <c r="T33" s="170"/>
      <c r="U33" s="11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</row>
    <row r="34" spans="1:136" x14ac:dyDescent="0.3">
      <c r="A34" s="4"/>
      <c r="B34" s="89" t="s">
        <v>44</v>
      </c>
      <c r="C34" s="253"/>
      <c r="D34" s="279"/>
      <c r="E34" s="279"/>
      <c r="F34" s="170"/>
      <c r="G34" s="118"/>
      <c r="H34" s="4"/>
      <c r="I34" s="89" t="s">
        <v>44</v>
      </c>
      <c r="J34" s="253"/>
      <c r="K34" s="320"/>
      <c r="L34" s="320"/>
      <c r="M34" s="170"/>
      <c r="N34" s="118"/>
      <c r="O34" s="4"/>
      <c r="P34" s="21" t="s">
        <v>44</v>
      </c>
      <c r="Q34" s="253"/>
      <c r="R34" s="320"/>
      <c r="S34" s="320"/>
      <c r="T34" s="170"/>
      <c r="U34" s="11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</row>
    <row r="35" spans="1:136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</row>
    <row r="36" spans="1:136" ht="15" customHeight="1" x14ac:dyDescent="0.3">
      <c r="A36" s="4"/>
      <c r="B36" s="322">
        <v>4</v>
      </c>
      <c r="C36" s="316"/>
      <c r="D36" s="317"/>
      <c r="E36" s="317"/>
      <c r="F36" s="93"/>
      <c r="G36" s="93"/>
      <c r="H36" s="4"/>
      <c r="I36" s="322">
        <v>9</v>
      </c>
      <c r="J36" s="316"/>
      <c r="K36" s="329"/>
      <c r="L36" s="317"/>
      <c r="M36" s="93"/>
      <c r="N36" s="93"/>
      <c r="O36" s="4"/>
      <c r="P36" s="23">
        <v>4</v>
      </c>
      <c r="Q36" s="316"/>
      <c r="R36" s="317"/>
      <c r="S36" s="317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</row>
    <row r="37" spans="1:136" ht="15" customHeight="1" x14ac:dyDescent="0.3">
      <c r="A37" s="4"/>
      <c r="B37" s="322"/>
      <c r="C37" s="324"/>
      <c r="D37" s="324"/>
      <c r="E37" s="324"/>
      <c r="F37" s="93" t="s">
        <v>45</v>
      </c>
      <c r="G37" s="93" t="s">
        <v>46</v>
      </c>
      <c r="H37" s="4"/>
      <c r="I37" s="323"/>
      <c r="J37" s="324"/>
      <c r="K37" s="325"/>
      <c r="L37" s="325"/>
      <c r="M37" s="93" t="s">
        <v>45</v>
      </c>
      <c r="N37" s="93" t="s">
        <v>46</v>
      </c>
      <c r="O37" s="4"/>
      <c r="P37" s="24" t="s">
        <v>196</v>
      </c>
      <c r="Q37" s="318"/>
      <c r="R37" s="319"/>
      <c r="S37" s="319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</row>
    <row r="38" spans="1:136" ht="15" customHeight="1" x14ac:dyDescent="0.3">
      <c r="A38" s="4"/>
      <c r="B38" s="89" t="s">
        <v>20</v>
      </c>
      <c r="C38" s="324"/>
      <c r="D38" s="324"/>
      <c r="E38" s="324"/>
      <c r="F38" s="179"/>
      <c r="G38" s="170">
        <f>(Summary!F27)</f>
        <v>0</v>
      </c>
      <c r="H38" s="4"/>
      <c r="I38" s="89" t="s">
        <v>20</v>
      </c>
      <c r="J38" s="325"/>
      <c r="K38" s="325"/>
      <c r="L38" s="325"/>
      <c r="M38" s="179"/>
      <c r="N38" s="170">
        <f>(Summary!F32)</f>
        <v>0</v>
      </c>
      <c r="O38" s="4"/>
      <c r="P38" s="25" t="s">
        <v>20</v>
      </c>
      <c r="Q38" s="319"/>
      <c r="R38" s="319"/>
      <c r="S38" s="319"/>
      <c r="T38" s="179"/>
      <c r="U38" s="170">
        <f>(Summary!F37)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</row>
    <row r="39" spans="1:136" x14ac:dyDescent="0.3">
      <c r="A39" s="4"/>
      <c r="B39" s="89" t="s">
        <v>10</v>
      </c>
      <c r="C39" s="253"/>
      <c r="D39" s="279"/>
      <c r="E39" s="279"/>
      <c r="F39" s="170"/>
      <c r="G39" s="118"/>
      <c r="H39" s="4"/>
      <c r="I39" s="89" t="s">
        <v>10</v>
      </c>
      <c r="J39" s="253"/>
      <c r="K39" s="320"/>
      <c r="L39" s="320"/>
      <c r="M39" s="170"/>
      <c r="N39" s="118"/>
      <c r="O39" s="4"/>
      <c r="P39" s="21" t="s">
        <v>10</v>
      </c>
      <c r="Q39" s="253"/>
      <c r="R39" s="320"/>
      <c r="S39" s="320"/>
      <c r="T39" s="170"/>
      <c r="U39" s="11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</row>
    <row r="40" spans="1:136" x14ac:dyDescent="0.3">
      <c r="A40" s="4"/>
      <c r="B40" s="89" t="s">
        <v>42</v>
      </c>
      <c r="C40" s="253"/>
      <c r="D40" s="279"/>
      <c r="E40" s="279"/>
      <c r="F40" s="170"/>
      <c r="G40" s="118"/>
      <c r="H40" s="4"/>
      <c r="I40" s="89" t="s">
        <v>42</v>
      </c>
      <c r="J40" s="253"/>
      <c r="K40" s="320"/>
      <c r="L40" s="320"/>
      <c r="M40" s="170"/>
      <c r="N40" s="118"/>
      <c r="O40" s="4"/>
      <c r="P40" s="21" t="s">
        <v>42</v>
      </c>
      <c r="Q40" s="253"/>
      <c r="R40" s="320"/>
      <c r="S40" s="320"/>
      <c r="T40" s="170"/>
      <c r="U40" s="11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</row>
    <row r="41" spans="1:136" x14ac:dyDescent="0.3">
      <c r="A41" s="4"/>
      <c r="B41" s="89" t="s">
        <v>12</v>
      </c>
      <c r="C41" s="253"/>
      <c r="D41" s="279"/>
      <c r="E41" s="279"/>
      <c r="F41" s="170"/>
      <c r="G41" s="118"/>
      <c r="H41" s="4"/>
      <c r="I41" s="89" t="s">
        <v>12</v>
      </c>
      <c r="J41" s="253"/>
      <c r="K41" s="320"/>
      <c r="L41" s="320"/>
      <c r="M41" s="170"/>
      <c r="N41" s="118"/>
      <c r="O41" s="4"/>
      <c r="P41" s="21" t="s">
        <v>12</v>
      </c>
      <c r="Q41" s="253"/>
      <c r="R41" s="320"/>
      <c r="S41" s="320"/>
      <c r="T41" s="170"/>
      <c r="U41" s="11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</row>
    <row r="42" spans="1:136" x14ac:dyDescent="0.3">
      <c r="A42" s="4"/>
      <c r="B42" s="89" t="s">
        <v>12</v>
      </c>
      <c r="C42" s="253"/>
      <c r="D42" s="279"/>
      <c r="E42" s="279"/>
      <c r="F42" s="170"/>
      <c r="G42" s="118"/>
      <c r="H42" s="4"/>
      <c r="I42" s="89" t="s">
        <v>12</v>
      </c>
      <c r="J42" s="253"/>
      <c r="K42" s="320"/>
      <c r="L42" s="320"/>
      <c r="M42" s="170"/>
      <c r="N42" s="118"/>
      <c r="O42" s="4"/>
      <c r="P42" s="21" t="s">
        <v>12</v>
      </c>
      <c r="Q42" s="253"/>
      <c r="R42" s="320"/>
      <c r="S42" s="320"/>
      <c r="T42" s="170"/>
      <c r="U42" s="11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</row>
    <row r="43" spans="1:136" x14ac:dyDescent="0.3">
      <c r="A43" s="4"/>
      <c r="B43" s="89" t="s">
        <v>43</v>
      </c>
      <c r="C43" s="253"/>
      <c r="D43" s="279"/>
      <c r="E43" s="279"/>
      <c r="F43" s="170"/>
      <c r="G43" s="118"/>
      <c r="H43" s="4"/>
      <c r="I43" s="89" t="s">
        <v>43</v>
      </c>
      <c r="J43" s="253"/>
      <c r="K43" s="320"/>
      <c r="L43" s="320"/>
      <c r="M43" s="170"/>
      <c r="N43" s="118"/>
      <c r="O43" s="4"/>
      <c r="P43" s="21" t="s">
        <v>43</v>
      </c>
      <c r="Q43" s="253"/>
      <c r="R43" s="320"/>
      <c r="S43" s="320"/>
      <c r="T43" s="170"/>
      <c r="U43" s="11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</row>
    <row r="44" spans="1:136" x14ac:dyDescent="0.3">
      <c r="A44" s="4"/>
      <c r="B44" s="89" t="s">
        <v>44</v>
      </c>
      <c r="C44" s="253"/>
      <c r="D44" s="279"/>
      <c r="E44" s="279"/>
      <c r="F44" s="170"/>
      <c r="G44" s="118"/>
      <c r="H44" s="4"/>
      <c r="I44" s="89" t="s">
        <v>44</v>
      </c>
      <c r="J44" s="253"/>
      <c r="K44" s="320"/>
      <c r="L44" s="320"/>
      <c r="M44" s="170"/>
      <c r="N44" s="118"/>
      <c r="O44" s="4"/>
      <c r="P44" s="21" t="s">
        <v>44</v>
      </c>
      <c r="Q44" s="253"/>
      <c r="R44" s="320"/>
      <c r="S44" s="320"/>
      <c r="T44" s="170"/>
      <c r="U44" s="11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</row>
    <row r="45" spans="1:136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</row>
    <row r="46" spans="1:136" ht="15" customHeight="1" x14ac:dyDescent="0.3">
      <c r="A46" s="4"/>
      <c r="B46" s="322">
        <v>5</v>
      </c>
      <c r="C46" s="316"/>
      <c r="D46" s="329"/>
      <c r="E46" s="317"/>
      <c r="F46" s="93"/>
      <c r="G46" s="93"/>
      <c r="H46" s="4"/>
      <c r="I46" s="322">
        <v>10</v>
      </c>
      <c r="J46" s="316"/>
      <c r="K46" s="317"/>
      <c r="L46" s="317"/>
      <c r="M46" s="93"/>
      <c r="N46" s="93"/>
      <c r="O46" s="4"/>
      <c r="P46" s="26">
        <v>1</v>
      </c>
      <c r="Q46" s="316"/>
      <c r="R46" s="329"/>
      <c r="S46" s="317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</row>
    <row r="47" spans="1:136" ht="15" customHeight="1" x14ac:dyDescent="0.3">
      <c r="A47" s="4"/>
      <c r="B47" s="322"/>
      <c r="C47" s="324"/>
      <c r="D47" s="324"/>
      <c r="E47" s="324"/>
      <c r="F47" s="93" t="s">
        <v>45</v>
      </c>
      <c r="G47" s="93" t="s">
        <v>46</v>
      </c>
      <c r="H47" s="4"/>
      <c r="I47" s="323"/>
      <c r="J47" s="324"/>
      <c r="K47" s="325"/>
      <c r="L47" s="325"/>
      <c r="M47" s="93" t="s">
        <v>45</v>
      </c>
      <c r="N47" s="93" t="s">
        <v>46</v>
      </c>
      <c r="O47" s="4"/>
      <c r="P47" s="27" t="s">
        <v>197</v>
      </c>
      <c r="Q47" s="330"/>
      <c r="R47" s="331"/>
      <c r="S47" s="331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</row>
    <row r="48" spans="1:136" ht="15" customHeight="1" x14ac:dyDescent="0.3">
      <c r="A48" s="4"/>
      <c r="B48" s="89" t="s">
        <v>20</v>
      </c>
      <c r="C48" s="324"/>
      <c r="D48" s="324"/>
      <c r="E48" s="324"/>
      <c r="F48" s="179"/>
      <c r="G48" s="170">
        <f>(Summary!F28)</f>
        <v>0</v>
      </c>
      <c r="H48" s="4"/>
      <c r="I48" s="89" t="s">
        <v>20</v>
      </c>
      <c r="J48" s="325"/>
      <c r="K48" s="325"/>
      <c r="L48" s="325"/>
      <c r="M48" s="179"/>
      <c r="N48" s="170">
        <f>(Summary!F33)</f>
        <v>0</v>
      </c>
      <c r="O48" s="4"/>
      <c r="P48" s="28"/>
      <c r="Q48" s="331"/>
      <c r="R48" s="331"/>
      <c r="S48" s="331"/>
      <c r="T48" s="179"/>
      <c r="U48" s="170">
        <f>(Summary!F38)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</row>
    <row r="49" spans="1:136" x14ac:dyDescent="0.3">
      <c r="A49" s="4"/>
      <c r="B49" s="89" t="s">
        <v>10</v>
      </c>
      <c r="C49" s="253"/>
      <c r="D49" s="279"/>
      <c r="E49" s="279"/>
      <c r="F49" s="170"/>
      <c r="G49" s="118"/>
      <c r="H49" s="4"/>
      <c r="I49" s="89" t="s">
        <v>10</v>
      </c>
      <c r="J49" s="253"/>
      <c r="K49" s="320"/>
      <c r="L49" s="320"/>
      <c r="M49" s="170"/>
      <c r="N49" s="118"/>
      <c r="O49" s="4"/>
      <c r="P49" s="94" t="s">
        <v>10</v>
      </c>
      <c r="Q49" s="253"/>
      <c r="R49" s="320"/>
      <c r="S49" s="320"/>
      <c r="T49" s="170"/>
      <c r="U49" s="11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</row>
    <row r="50" spans="1:136" x14ac:dyDescent="0.3">
      <c r="A50" s="4"/>
      <c r="B50" s="89" t="s">
        <v>42</v>
      </c>
      <c r="C50" s="253"/>
      <c r="D50" s="279"/>
      <c r="E50" s="279"/>
      <c r="F50" s="170"/>
      <c r="G50" s="118"/>
      <c r="H50" s="4"/>
      <c r="I50" s="89" t="s">
        <v>42</v>
      </c>
      <c r="J50" s="253"/>
      <c r="K50" s="320"/>
      <c r="L50" s="320"/>
      <c r="M50" s="170"/>
      <c r="N50" s="118"/>
      <c r="O50" s="4"/>
      <c r="P50" s="94" t="s">
        <v>42</v>
      </c>
      <c r="Q50" s="253"/>
      <c r="R50" s="320"/>
      <c r="S50" s="320"/>
      <c r="T50" s="170"/>
      <c r="U50" s="11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</row>
    <row r="51" spans="1:136" x14ac:dyDescent="0.3">
      <c r="A51" s="4"/>
      <c r="B51" s="89" t="s">
        <v>12</v>
      </c>
      <c r="C51" s="253"/>
      <c r="D51" s="279"/>
      <c r="E51" s="279"/>
      <c r="F51" s="170"/>
      <c r="G51" s="118"/>
      <c r="H51" s="4"/>
      <c r="I51" s="89" t="s">
        <v>12</v>
      </c>
      <c r="J51" s="253"/>
      <c r="K51" s="320"/>
      <c r="L51" s="320"/>
      <c r="M51" s="170"/>
      <c r="N51" s="118"/>
      <c r="O51" s="4"/>
      <c r="P51" s="94" t="s">
        <v>12</v>
      </c>
      <c r="Q51" s="253"/>
      <c r="R51" s="320"/>
      <c r="S51" s="320"/>
      <c r="T51" s="170"/>
      <c r="U51" s="11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</row>
    <row r="52" spans="1:136" x14ac:dyDescent="0.3">
      <c r="A52" s="4"/>
      <c r="B52" s="89" t="s">
        <v>12</v>
      </c>
      <c r="C52" s="253"/>
      <c r="D52" s="279"/>
      <c r="E52" s="279"/>
      <c r="F52" s="170"/>
      <c r="G52" s="118"/>
      <c r="H52" s="4"/>
      <c r="I52" s="89" t="s">
        <v>12</v>
      </c>
      <c r="J52" s="253"/>
      <c r="K52" s="320"/>
      <c r="L52" s="320"/>
      <c r="M52" s="170"/>
      <c r="N52" s="118"/>
      <c r="O52" s="4"/>
      <c r="P52" s="94" t="s">
        <v>12</v>
      </c>
      <c r="Q52" s="253"/>
      <c r="R52" s="320"/>
      <c r="S52" s="320"/>
      <c r="T52" s="170"/>
      <c r="U52" s="11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</row>
    <row r="53" spans="1:136" x14ac:dyDescent="0.3">
      <c r="A53" s="4"/>
      <c r="B53" s="89" t="s">
        <v>43</v>
      </c>
      <c r="C53" s="253"/>
      <c r="D53" s="279"/>
      <c r="E53" s="279"/>
      <c r="F53" s="170"/>
      <c r="G53" s="118"/>
      <c r="H53" s="4"/>
      <c r="I53" s="89" t="s">
        <v>43</v>
      </c>
      <c r="J53" s="253"/>
      <c r="K53" s="320"/>
      <c r="L53" s="320"/>
      <c r="M53" s="170"/>
      <c r="N53" s="118"/>
      <c r="O53" s="4"/>
      <c r="P53" s="94" t="s">
        <v>43</v>
      </c>
      <c r="Q53" s="253"/>
      <c r="R53" s="320"/>
      <c r="S53" s="320"/>
      <c r="T53" s="170"/>
      <c r="U53" s="11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</row>
    <row r="54" spans="1:136" x14ac:dyDescent="0.3">
      <c r="A54" s="4"/>
      <c r="B54" s="89" t="s">
        <v>44</v>
      </c>
      <c r="C54" s="253"/>
      <c r="D54" s="279"/>
      <c r="E54" s="279"/>
      <c r="F54" s="170"/>
      <c r="G54" s="118"/>
      <c r="H54" s="4"/>
      <c r="I54" s="18" t="s">
        <v>44</v>
      </c>
      <c r="J54" s="253"/>
      <c r="K54" s="320"/>
      <c r="L54" s="320"/>
      <c r="M54" s="170"/>
      <c r="N54" s="118"/>
      <c r="O54" s="4"/>
      <c r="P54" s="94" t="s">
        <v>44</v>
      </c>
      <c r="Q54" s="253"/>
      <c r="R54" s="320"/>
      <c r="S54" s="320"/>
      <c r="T54" s="170"/>
      <c r="U54" s="11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</row>
    <row r="55" spans="1:136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</row>
    <row r="56" spans="1:136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</row>
    <row r="57" spans="1:136" ht="36.6" x14ac:dyDescent="0.7">
      <c r="A57" s="4"/>
      <c r="B57" s="181"/>
      <c r="C57" s="181"/>
      <c r="D57" s="181"/>
      <c r="E57" s="181"/>
      <c r="F57" s="181"/>
      <c r="G57" s="181"/>
      <c r="H57" s="4"/>
      <c r="I57" s="321" t="s">
        <v>453</v>
      </c>
      <c r="J57" s="321"/>
      <c r="K57" s="321"/>
      <c r="L57" s="321"/>
      <c r="M57" s="321"/>
      <c r="N57" s="321"/>
      <c r="O57" s="4"/>
      <c r="P57" s="181"/>
      <c r="Q57" s="181"/>
      <c r="R57" s="181"/>
      <c r="S57" s="181"/>
      <c r="T57" s="181"/>
      <c r="U57" s="181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</row>
    <row r="58" spans="1:136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</row>
    <row r="59" spans="1:136" ht="21" x14ac:dyDescent="0.3">
      <c r="A59" s="4"/>
      <c r="B59" s="322">
        <v>11</v>
      </c>
      <c r="C59" s="316"/>
      <c r="D59" s="317"/>
      <c r="E59" s="317"/>
      <c r="F59" s="93"/>
      <c r="G59" s="93"/>
      <c r="H59" s="4"/>
      <c r="I59" s="322">
        <v>16</v>
      </c>
      <c r="J59" s="316"/>
      <c r="K59" s="317"/>
      <c r="L59" s="317"/>
      <c r="M59" s="93"/>
      <c r="N59" s="93"/>
      <c r="O59" s="4"/>
      <c r="P59" s="23">
        <v>5</v>
      </c>
      <c r="Q59" s="316"/>
      <c r="R59" s="317"/>
      <c r="S59" s="317"/>
      <c r="T59" s="22"/>
      <c r="U59" s="22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</row>
    <row r="60" spans="1:136" x14ac:dyDescent="0.3">
      <c r="A60" s="4"/>
      <c r="B60" s="323"/>
      <c r="C60" s="324"/>
      <c r="D60" s="325"/>
      <c r="E60" s="325"/>
      <c r="F60" s="93" t="s">
        <v>45</v>
      </c>
      <c r="G60" s="93" t="s">
        <v>46</v>
      </c>
      <c r="H60" s="4"/>
      <c r="I60" s="323"/>
      <c r="J60" s="324"/>
      <c r="K60" s="325"/>
      <c r="L60" s="325"/>
      <c r="M60" s="93" t="s">
        <v>45</v>
      </c>
      <c r="N60" s="93" t="s">
        <v>46</v>
      </c>
      <c r="O60" s="4"/>
      <c r="P60" s="24" t="s">
        <v>196</v>
      </c>
      <c r="Q60" s="318"/>
      <c r="R60" s="319"/>
      <c r="S60" s="319"/>
      <c r="T60" s="22" t="s">
        <v>45</v>
      </c>
      <c r="U60" s="22" t="s">
        <v>46</v>
      </c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</row>
    <row r="61" spans="1:136" x14ac:dyDescent="0.3">
      <c r="A61" s="4"/>
      <c r="B61" s="137" t="s">
        <v>20</v>
      </c>
      <c r="C61" s="325"/>
      <c r="D61" s="325"/>
      <c r="E61" s="325"/>
      <c r="F61" s="179"/>
      <c r="G61" s="170">
        <f>(Summary!F42)</f>
        <v>0</v>
      </c>
      <c r="H61" s="4"/>
      <c r="I61" s="137" t="s">
        <v>20</v>
      </c>
      <c r="J61" s="325"/>
      <c r="K61" s="325"/>
      <c r="L61" s="325"/>
      <c r="M61" s="179"/>
      <c r="N61" s="170">
        <f>(Summary!F47)</f>
        <v>0</v>
      </c>
      <c r="O61" s="4"/>
      <c r="P61" s="25" t="s">
        <v>20</v>
      </c>
      <c r="Q61" s="319"/>
      <c r="R61" s="319"/>
      <c r="S61" s="319"/>
      <c r="T61" s="179"/>
      <c r="U61" s="170">
        <f>(Summary!F52)</f>
        <v>0</v>
      </c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</row>
    <row r="62" spans="1:136" x14ac:dyDescent="0.3">
      <c r="A62" s="4"/>
      <c r="B62" s="137" t="s">
        <v>10</v>
      </c>
      <c r="C62" s="253"/>
      <c r="D62" s="320"/>
      <c r="E62" s="320"/>
      <c r="F62" s="170"/>
      <c r="G62" s="118"/>
      <c r="H62" s="4"/>
      <c r="I62" s="137" t="s">
        <v>10</v>
      </c>
      <c r="J62" s="253"/>
      <c r="K62" s="320"/>
      <c r="L62" s="320"/>
      <c r="M62" s="170"/>
      <c r="N62" s="118"/>
      <c r="O62" s="4"/>
      <c r="P62" s="21" t="s">
        <v>10</v>
      </c>
      <c r="Q62" s="253"/>
      <c r="R62" s="320"/>
      <c r="S62" s="320"/>
      <c r="T62" s="170"/>
      <c r="U62" s="118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</row>
    <row r="63" spans="1:136" x14ac:dyDescent="0.3">
      <c r="A63" s="4"/>
      <c r="B63" s="137" t="s">
        <v>42</v>
      </c>
      <c r="C63" s="253"/>
      <c r="D63" s="320"/>
      <c r="E63" s="320"/>
      <c r="F63" s="170"/>
      <c r="G63" s="118"/>
      <c r="H63" s="4"/>
      <c r="I63" s="137" t="s">
        <v>42</v>
      </c>
      <c r="J63" s="253"/>
      <c r="K63" s="320"/>
      <c r="L63" s="320"/>
      <c r="M63" s="170"/>
      <c r="N63" s="118"/>
      <c r="O63" s="4"/>
      <c r="P63" s="21" t="s">
        <v>42</v>
      </c>
      <c r="Q63" s="253"/>
      <c r="R63" s="320"/>
      <c r="S63" s="320"/>
      <c r="T63" s="170"/>
      <c r="U63" s="118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</row>
    <row r="64" spans="1:136" x14ac:dyDescent="0.3">
      <c r="A64" s="4"/>
      <c r="B64" s="137" t="s">
        <v>12</v>
      </c>
      <c r="C64" s="253"/>
      <c r="D64" s="320"/>
      <c r="E64" s="320"/>
      <c r="F64" s="170"/>
      <c r="G64" s="118"/>
      <c r="H64" s="4"/>
      <c r="I64" s="137" t="s">
        <v>12</v>
      </c>
      <c r="J64" s="253"/>
      <c r="K64" s="320"/>
      <c r="L64" s="320"/>
      <c r="M64" s="170"/>
      <c r="N64" s="118"/>
      <c r="O64" s="4"/>
      <c r="P64" s="21" t="s">
        <v>12</v>
      </c>
      <c r="Q64" s="253"/>
      <c r="R64" s="320"/>
      <c r="S64" s="320"/>
      <c r="T64" s="170"/>
      <c r="U64" s="118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</row>
    <row r="65" spans="1:75" x14ac:dyDescent="0.3">
      <c r="A65" s="4"/>
      <c r="B65" s="137" t="s">
        <v>12</v>
      </c>
      <c r="C65" s="253"/>
      <c r="D65" s="320"/>
      <c r="E65" s="320"/>
      <c r="F65" s="170"/>
      <c r="G65" s="118"/>
      <c r="H65" s="4"/>
      <c r="I65" s="137" t="s">
        <v>12</v>
      </c>
      <c r="J65" s="253"/>
      <c r="K65" s="320"/>
      <c r="L65" s="320"/>
      <c r="M65" s="170"/>
      <c r="N65" s="118"/>
      <c r="O65" s="4"/>
      <c r="P65" s="21" t="s">
        <v>12</v>
      </c>
      <c r="Q65" s="253"/>
      <c r="R65" s="320"/>
      <c r="S65" s="320"/>
      <c r="T65" s="170"/>
      <c r="U65" s="118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</row>
    <row r="66" spans="1:75" x14ac:dyDescent="0.3">
      <c r="A66" s="4"/>
      <c r="B66" s="137" t="s">
        <v>43</v>
      </c>
      <c r="C66" s="253"/>
      <c r="D66" s="320"/>
      <c r="E66" s="320"/>
      <c r="F66" s="170"/>
      <c r="G66" s="118"/>
      <c r="H66" s="4"/>
      <c r="I66" s="137" t="s">
        <v>43</v>
      </c>
      <c r="J66" s="253"/>
      <c r="K66" s="320"/>
      <c r="L66" s="320"/>
      <c r="M66" s="170"/>
      <c r="N66" s="118"/>
      <c r="O66" s="4"/>
      <c r="P66" s="21" t="s">
        <v>43</v>
      </c>
      <c r="Q66" s="253"/>
      <c r="R66" s="320"/>
      <c r="S66" s="320"/>
      <c r="T66" s="170"/>
      <c r="U66" s="118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</row>
    <row r="67" spans="1:75" x14ac:dyDescent="0.3">
      <c r="A67" s="4"/>
      <c r="B67" s="137" t="s">
        <v>44</v>
      </c>
      <c r="C67" s="253"/>
      <c r="D67" s="320"/>
      <c r="E67" s="320"/>
      <c r="F67" s="170"/>
      <c r="G67" s="118"/>
      <c r="H67" s="4"/>
      <c r="I67" s="137" t="s">
        <v>44</v>
      </c>
      <c r="J67" s="253"/>
      <c r="K67" s="320"/>
      <c r="L67" s="320"/>
      <c r="M67" s="170"/>
      <c r="N67" s="118"/>
      <c r="O67" s="4"/>
      <c r="P67" s="21" t="s">
        <v>44</v>
      </c>
      <c r="Q67" s="253"/>
      <c r="R67" s="320"/>
      <c r="S67" s="320"/>
      <c r="T67" s="170"/>
      <c r="U67" s="118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</row>
    <row r="68" spans="1:75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</row>
    <row r="69" spans="1:75" ht="21" x14ac:dyDescent="0.3">
      <c r="A69" s="4"/>
      <c r="B69" s="322">
        <v>12</v>
      </c>
      <c r="C69" s="316"/>
      <c r="D69" s="317"/>
      <c r="E69" s="317"/>
      <c r="F69" s="93"/>
      <c r="G69" s="93"/>
      <c r="H69" s="4"/>
      <c r="I69" s="322">
        <v>17</v>
      </c>
      <c r="J69" s="316"/>
      <c r="K69" s="317"/>
      <c r="L69" s="317"/>
      <c r="M69" s="93"/>
      <c r="N69" s="93"/>
      <c r="O69" s="4"/>
      <c r="P69" s="23">
        <v>6</v>
      </c>
      <c r="Q69" s="316"/>
      <c r="R69" s="317"/>
      <c r="S69" s="317"/>
      <c r="T69" s="22"/>
      <c r="U69" s="22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</row>
    <row r="70" spans="1:75" x14ac:dyDescent="0.3">
      <c r="A70" s="4"/>
      <c r="B70" s="323"/>
      <c r="C70" s="324"/>
      <c r="D70" s="325"/>
      <c r="E70" s="325"/>
      <c r="F70" s="93" t="s">
        <v>45</v>
      </c>
      <c r="G70" s="93" t="s">
        <v>46</v>
      </c>
      <c r="H70" s="4"/>
      <c r="I70" s="323"/>
      <c r="J70" s="324"/>
      <c r="K70" s="325"/>
      <c r="L70" s="325"/>
      <c r="M70" s="93" t="s">
        <v>45</v>
      </c>
      <c r="N70" s="93" t="s">
        <v>46</v>
      </c>
      <c r="O70" s="4"/>
      <c r="P70" s="24" t="s">
        <v>196</v>
      </c>
      <c r="Q70" s="318"/>
      <c r="R70" s="319"/>
      <c r="S70" s="319"/>
      <c r="T70" s="22" t="s">
        <v>45</v>
      </c>
      <c r="U70" s="22" t="s">
        <v>46</v>
      </c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</row>
    <row r="71" spans="1:75" x14ac:dyDescent="0.3">
      <c r="A71" s="4"/>
      <c r="B71" s="137" t="s">
        <v>20</v>
      </c>
      <c r="C71" s="325"/>
      <c r="D71" s="325"/>
      <c r="E71" s="325"/>
      <c r="F71" s="179"/>
      <c r="G71" s="170">
        <f>(Summary!F43)</f>
        <v>0</v>
      </c>
      <c r="H71" s="4"/>
      <c r="I71" s="137" t="s">
        <v>20</v>
      </c>
      <c r="J71" s="325"/>
      <c r="K71" s="325"/>
      <c r="L71" s="325"/>
      <c r="M71" s="179"/>
      <c r="N71" s="170">
        <f>(Summary!F48)</f>
        <v>0</v>
      </c>
      <c r="O71" s="4"/>
      <c r="P71" s="25" t="s">
        <v>20</v>
      </c>
      <c r="Q71" s="319"/>
      <c r="R71" s="319"/>
      <c r="S71" s="319"/>
      <c r="T71" s="179"/>
      <c r="U71" s="170">
        <f>(Summary!F53)</f>
        <v>0</v>
      </c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</row>
    <row r="72" spans="1:75" x14ac:dyDescent="0.3">
      <c r="A72" s="4"/>
      <c r="B72" s="137" t="s">
        <v>10</v>
      </c>
      <c r="C72" s="253"/>
      <c r="D72" s="320"/>
      <c r="E72" s="320"/>
      <c r="F72" s="170"/>
      <c r="G72" s="118"/>
      <c r="H72" s="4"/>
      <c r="I72" s="137" t="s">
        <v>10</v>
      </c>
      <c r="J72" s="253"/>
      <c r="K72" s="320"/>
      <c r="L72" s="320"/>
      <c r="M72" s="170"/>
      <c r="N72" s="118"/>
      <c r="O72" s="4"/>
      <c r="P72" s="21" t="s">
        <v>10</v>
      </c>
      <c r="Q72" s="253"/>
      <c r="R72" s="320"/>
      <c r="S72" s="320"/>
      <c r="T72" s="170"/>
      <c r="U72" s="118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</row>
    <row r="73" spans="1:75" x14ac:dyDescent="0.3">
      <c r="A73" s="4"/>
      <c r="B73" s="137" t="s">
        <v>42</v>
      </c>
      <c r="C73" s="253"/>
      <c r="D73" s="320"/>
      <c r="E73" s="320"/>
      <c r="F73" s="170"/>
      <c r="G73" s="118"/>
      <c r="H73" s="4"/>
      <c r="I73" s="137" t="s">
        <v>42</v>
      </c>
      <c r="J73" s="253"/>
      <c r="K73" s="320"/>
      <c r="L73" s="320"/>
      <c r="M73" s="170"/>
      <c r="N73" s="118"/>
      <c r="O73" s="4"/>
      <c r="P73" s="21" t="s">
        <v>42</v>
      </c>
      <c r="Q73" s="253"/>
      <c r="R73" s="320"/>
      <c r="S73" s="320"/>
      <c r="T73" s="170"/>
      <c r="U73" s="118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</row>
    <row r="74" spans="1:75" x14ac:dyDescent="0.3">
      <c r="A74" s="4"/>
      <c r="B74" s="137" t="s">
        <v>12</v>
      </c>
      <c r="C74" s="253"/>
      <c r="D74" s="320"/>
      <c r="E74" s="320"/>
      <c r="F74" s="170"/>
      <c r="G74" s="118"/>
      <c r="H74" s="4"/>
      <c r="I74" s="137" t="s">
        <v>12</v>
      </c>
      <c r="J74" s="253"/>
      <c r="K74" s="320"/>
      <c r="L74" s="320"/>
      <c r="M74" s="170"/>
      <c r="N74" s="118"/>
      <c r="O74" s="4"/>
      <c r="P74" s="21" t="s">
        <v>12</v>
      </c>
      <c r="Q74" s="253"/>
      <c r="R74" s="320"/>
      <c r="S74" s="320"/>
      <c r="T74" s="170"/>
      <c r="U74" s="118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</row>
    <row r="75" spans="1:75" x14ac:dyDescent="0.3">
      <c r="A75" s="4"/>
      <c r="B75" s="137" t="s">
        <v>12</v>
      </c>
      <c r="C75" s="253"/>
      <c r="D75" s="320"/>
      <c r="E75" s="320"/>
      <c r="F75" s="170"/>
      <c r="G75" s="118"/>
      <c r="H75" s="4"/>
      <c r="I75" s="137" t="s">
        <v>12</v>
      </c>
      <c r="J75" s="253"/>
      <c r="K75" s="320"/>
      <c r="L75" s="320"/>
      <c r="M75" s="170"/>
      <c r="N75" s="118"/>
      <c r="O75" s="4"/>
      <c r="P75" s="21" t="s">
        <v>12</v>
      </c>
      <c r="Q75" s="253"/>
      <c r="R75" s="320"/>
      <c r="S75" s="320"/>
      <c r="T75" s="170"/>
      <c r="U75" s="118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</row>
    <row r="76" spans="1:75" x14ac:dyDescent="0.3">
      <c r="A76" s="4"/>
      <c r="B76" s="137" t="s">
        <v>43</v>
      </c>
      <c r="C76" s="253"/>
      <c r="D76" s="320"/>
      <c r="E76" s="320"/>
      <c r="F76" s="170"/>
      <c r="G76" s="118"/>
      <c r="H76" s="4"/>
      <c r="I76" s="137" t="s">
        <v>43</v>
      </c>
      <c r="J76" s="253"/>
      <c r="K76" s="320"/>
      <c r="L76" s="320"/>
      <c r="M76" s="170"/>
      <c r="N76" s="118"/>
      <c r="O76" s="4"/>
      <c r="P76" s="21" t="s">
        <v>43</v>
      </c>
      <c r="Q76" s="253"/>
      <c r="R76" s="320"/>
      <c r="S76" s="320"/>
      <c r="T76" s="170"/>
      <c r="U76" s="118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</row>
    <row r="77" spans="1:75" x14ac:dyDescent="0.3">
      <c r="A77" s="4"/>
      <c r="B77" s="137" t="s">
        <v>44</v>
      </c>
      <c r="C77" s="253"/>
      <c r="D77" s="320"/>
      <c r="E77" s="320"/>
      <c r="F77" s="170"/>
      <c r="G77" s="118"/>
      <c r="H77" s="4"/>
      <c r="I77" s="137" t="s">
        <v>44</v>
      </c>
      <c r="J77" s="253"/>
      <c r="K77" s="320"/>
      <c r="L77" s="320"/>
      <c r="M77" s="170"/>
      <c r="N77" s="118"/>
      <c r="O77" s="4"/>
      <c r="P77" s="21" t="s">
        <v>44</v>
      </c>
      <c r="Q77" s="253"/>
      <c r="R77" s="320"/>
      <c r="S77" s="320"/>
      <c r="T77" s="170"/>
      <c r="U77" s="118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</row>
    <row r="78" spans="1:75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</row>
    <row r="79" spans="1:75" ht="21" x14ac:dyDescent="0.3">
      <c r="A79" s="4"/>
      <c r="B79" s="322">
        <v>13</v>
      </c>
      <c r="C79" s="316"/>
      <c r="D79" s="317"/>
      <c r="E79" s="317"/>
      <c r="F79" s="93"/>
      <c r="G79" s="93"/>
      <c r="H79" s="4"/>
      <c r="I79" s="322">
        <v>18</v>
      </c>
      <c r="J79" s="316"/>
      <c r="K79" s="317"/>
      <c r="L79" s="317"/>
      <c r="M79" s="93"/>
      <c r="N79" s="93"/>
      <c r="O79" s="4"/>
      <c r="P79" s="23">
        <v>7</v>
      </c>
      <c r="Q79" s="316"/>
      <c r="R79" s="317"/>
      <c r="S79" s="317"/>
      <c r="T79" s="22"/>
      <c r="U79" s="22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</row>
    <row r="80" spans="1:75" x14ac:dyDescent="0.3">
      <c r="A80" s="4"/>
      <c r="B80" s="323"/>
      <c r="C80" s="324"/>
      <c r="D80" s="325"/>
      <c r="E80" s="325"/>
      <c r="F80" s="93" t="s">
        <v>45</v>
      </c>
      <c r="G80" s="93" t="s">
        <v>46</v>
      </c>
      <c r="H80" s="4"/>
      <c r="I80" s="323"/>
      <c r="J80" s="324"/>
      <c r="K80" s="325"/>
      <c r="L80" s="325"/>
      <c r="M80" s="93" t="s">
        <v>45</v>
      </c>
      <c r="N80" s="93" t="s">
        <v>46</v>
      </c>
      <c r="O80" s="4"/>
      <c r="P80" s="24" t="s">
        <v>196</v>
      </c>
      <c r="Q80" s="318"/>
      <c r="R80" s="319"/>
      <c r="S80" s="319"/>
      <c r="T80" s="22" t="s">
        <v>45</v>
      </c>
      <c r="U80" s="22" t="s">
        <v>46</v>
      </c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</row>
    <row r="81" spans="1:75" x14ac:dyDescent="0.3">
      <c r="A81" s="4"/>
      <c r="B81" s="137" t="s">
        <v>20</v>
      </c>
      <c r="C81" s="325"/>
      <c r="D81" s="325"/>
      <c r="E81" s="325"/>
      <c r="F81" s="179"/>
      <c r="G81" s="170">
        <f>(Summary!F44)</f>
        <v>0</v>
      </c>
      <c r="H81" s="4"/>
      <c r="I81" s="137" t="s">
        <v>20</v>
      </c>
      <c r="J81" s="325"/>
      <c r="K81" s="325"/>
      <c r="L81" s="325"/>
      <c r="M81" s="179"/>
      <c r="N81" s="170">
        <f>(Summary!F49)</f>
        <v>0</v>
      </c>
      <c r="O81" s="4"/>
      <c r="P81" s="25" t="s">
        <v>20</v>
      </c>
      <c r="Q81" s="319"/>
      <c r="R81" s="319"/>
      <c r="S81" s="319"/>
      <c r="T81" s="179"/>
      <c r="U81" s="170">
        <f>(Summary!F54)</f>
        <v>0</v>
      </c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</row>
    <row r="82" spans="1:75" x14ac:dyDescent="0.3">
      <c r="A82" s="4"/>
      <c r="B82" s="137" t="s">
        <v>10</v>
      </c>
      <c r="C82" s="253"/>
      <c r="D82" s="320"/>
      <c r="E82" s="320"/>
      <c r="F82" s="170"/>
      <c r="G82" s="118"/>
      <c r="H82" s="4"/>
      <c r="I82" s="137" t="s">
        <v>10</v>
      </c>
      <c r="J82" s="253"/>
      <c r="K82" s="320"/>
      <c r="L82" s="320"/>
      <c r="M82" s="170"/>
      <c r="N82" s="118"/>
      <c r="O82" s="4"/>
      <c r="P82" s="21" t="s">
        <v>10</v>
      </c>
      <c r="Q82" s="253"/>
      <c r="R82" s="320"/>
      <c r="S82" s="320"/>
      <c r="T82" s="170"/>
      <c r="U82" s="118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</row>
    <row r="83" spans="1:75" x14ac:dyDescent="0.3">
      <c r="A83" s="4"/>
      <c r="B83" s="137" t="s">
        <v>42</v>
      </c>
      <c r="C83" s="253"/>
      <c r="D83" s="320"/>
      <c r="E83" s="320"/>
      <c r="F83" s="170"/>
      <c r="G83" s="118"/>
      <c r="H83" s="4"/>
      <c r="I83" s="137" t="s">
        <v>42</v>
      </c>
      <c r="J83" s="253"/>
      <c r="K83" s="320"/>
      <c r="L83" s="320"/>
      <c r="M83" s="170"/>
      <c r="N83" s="118"/>
      <c r="O83" s="4"/>
      <c r="P83" s="21" t="s">
        <v>42</v>
      </c>
      <c r="Q83" s="253"/>
      <c r="R83" s="320"/>
      <c r="S83" s="320"/>
      <c r="T83" s="170"/>
      <c r="U83" s="118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</row>
    <row r="84" spans="1:75" x14ac:dyDescent="0.3">
      <c r="A84" s="4"/>
      <c r="B84" s="137" t="s">
        <v>12</v>
      </c>
      <c r="C84" s="253"/>
      <c r="D84" s="320"/>
      <c r="E84" s="320"/>
      <c r="F84" s="170"/>
      <c r="G84" s="118"/>
      <c r="H84" s="4"/>
      <c r="I84" s="137" t="s">
        <v>12</v>
      </c>
      <c r="J84" s="253"/>
      <c r="K84" s="320"/>
      <c r="L84" s="320"/>
      <c r="M84" s="170"/>
      <c r="N84" s="118"/>
      <c r="O84" s="4"/>
      <c r="P84" s="21" t="s">
        <v>12</v>
      </c>
      <c r="Q84" s="253"/>
      <c r="R84" s="320"/>
      <c r="S84" s="320"/>
      <c r="T84" s="170"/>
      <c r="U84" s="118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</row>
    <row r="85" spans="1:75" x14ac:dyDescent="0.3">
      <c r="A85" s="4"/>
      <c r="B85" s="137" t="s">
        <v>12</v>
      </c>
      <c r="C85" s="253"/>
      <c r="D85" s="320"/>
      <c r="E85" s="320"/>
      <c r="F85" s="170"/>
      <c r="G85" s="118"/>
      <c r="H85" s="4"/>
      <c r="I85" s="137" t="s">
        <v>12</v>
      </c>
      <c r="J85" s="253"/>
      <c r="K85" s="320"/>
      <c r="L85" s="320"/>
      <c r="M85" s="170"/>
      <c r="N85" s="118"/>
      <c r="O85" s="4"/>
      <c r="P85" s="21" t="s">
        <v>12</v>
      </c>
      <c r="Q85" s="253"/>
      <c r="R85" s="320"/>
      <c r="S85" s="320"/>
      <c r="T85" s="170"/>
      <c r="U85" s="118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</row>
    <row r="86" spans="1:75" x14ac:dyDescent="0.3">
      <c r="A86" s="4"/>
      <c r="B86" s="137" t="s">
        <v>43</v>
      </c>
      <c r="C86" s="253"/>
      <c r="D86" s="320"/>
      <c r="E86" s="320"/>
      <c r="F86" s="170"/>
      <c r="G86" s="118"/>
      <c r="H86" s="4"/>
      <c r="I86" s="137" t="s">
        <v>43</v>
      </c>
      <c r="J86" s="253"/>
      <c r="K86" s="320"/>
      <c r="L86" s="320"/>
      <c r="M86" s="170"/>
      <c r="N86" s="118"/>
      <c r="O86" s="4"/>
      <c r="P86" s="21" t="s">
        <v>43</v>
      </c>
      <c r="Q86" s="253"/>
      <c r="R86" s="320"/>
      <c r="S86" s="320"/>
      <c r="T86" s="170"/>
      <c r="U86" s="118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</row>
    <row r="87" spans="1:75" x14ac:dyDescent="0.3">
      <c r="A87" s="4"/>
      <c r="B87" s="137" t="s">
        <v>44</v>
      </c>
      <c r="C87" s="253"/>
      <c r="D87" s="320"/>
      <c r="E87" s="320"/>
      <c r="F87" s="170"/>
      <c r="G87" s="118"/>
      <c r="H87" s="4"/>
      <c r="I87" s="137" t="s">
        <v>44</v>
      </c>
      <c r="J87" s="253"/>
      <c r="K87" s="320"/>
      <c r="L87" s="320"/>
      <c r="M87" s="170"/>
      <c r="N87" s="118"/>
      <c r="O87" s="4"/>
      <c r="P87" s="21" t="s">
        <v>44</v>
      </c>
      <c r="Q87" s="253"/>
      <c r="R87" s="320"/>
      <c r="S87" s="320"/>
      <c r="T87" s="170"/>
      <c r="U87" s="118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</row>
    <row r="88" spans="1:75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</row>
    <row r="89" spans="1:75" ht="21" x14ac:dyDescent="0.3">
      <c r="A89" s="4"/>
      <c r="B89" s="322">
        <v>14</v>
      </c>
      <c r="C89" s="316"/>
      <c r="D89" s="317"/>
      <c r="E89" s="317"/>
      <c r="F89" s="93"/>
      <c r="G89" s="93"/>
      <c r="H89" s="4"/>
      <c r="I89" s="322">
        <v>19</v>
      </c>
      <c r="J89" s="316"/>
      <c r="K89" s="317"/>
      <c r="L89" s="317"/>
      <c r="M89" s="93"/>
      <c r="N89" s="93"/>
      <c r="O89" s="4"/>
      <c r="P89" s="23">
        <v>8</v>
      </c>
      <c r="Q89" s="316"/>
      <c r="R89" s="317"/>
      <c r="S89" s="317"/>
      <c r="T89" s="22"/>
      <c r="U89" s="22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</row>
    <row r="90" spans="1:75" x14ac:dyDescent="0.3">
      <c r="A90" s="4"/>
      <c r="B90" s="323"/>
      <c r="C90" s="324"/>
      <c r="D90" s="325"/>
      <c r="E90" s="325"/>
      <c r="F90" s="93" t="s">
        <v>45</v>
      </c>
      <c r="G90" s="93" t="s">
        <v>46</v>
      </c>
      <c r="H90" s="4"/>
      <c r="I90" s="323"/>
      <c r="J90" s="324"/>
      <c r="K90" s="325"/>
      <c r="L90" s="325"/>
      <c r="M90" s="93" t="s">
        <v>45</v>
      </c>
      <c r="N90" s="93" t="s">
        <v>46</v>
      </c>
      <c r="O90" s="4"/>
      <c r="P90" s="24" t="s">
        <v>196</v>
      </c>
      <c r="Q90" s="318"/>
      <c r="R90" s="319"/>
      <c r="S90" s="319"/>
      <c r="T90" s="22" t="s">
        <v>45</v>
      </c>
      <c r="U90" s="22" t="s">
        <v>46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</row>
    <row r="91" spans="1:75" x14ac:dyDescent="0.3">
      <c r="A91" s="4"/>
      <c r="B91" s="137" t="s">
        <v>20</v>
      </c>
      <c r="C91" s="325"/>
      <c r="D91" s="325"/>
      <c r="E91" s="325"/>
      <c r="F91" s="179"/>
      <c r="G91" s="170">
        <f>(Summary!F45)</f>
        <v>0</v>
      </c>
      <c r="H91" s="4"/>
      <c r="I91" s="137" t="s">
        <v>20</v>
      </c>
      <c r="J91" s="325"/>
      <c r="K91" s="325"/>
      <c r="L91" s="325"/>
      <c r="M91" s="179"/>
      <c r="N91" s="170">
        <f>(Summary!F50)</f>
        <v>0</v>
      </c>
      <c r="O91" s="4"/>
      <c r="P91" s="25" t="s">
        <v>20</v>
      </c>
      <c r="Q91" s="319"/>
      <c r="R91" s="319"/>
      <c r="S91" s="319"/>
      <c r="T91" s="179"/>
      <c r="U91" s="170">
        <f>(Summary!F55)</f>
        <v>0</v>
      </c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</row>
    <row r="92" spans="1:75" x14ac:dyDescent="0.3">
      <c r="A92" s="4"/>
      <c r="B92" s="137" t="s">
        <v>10</v>
      </c>
      <c r="C92" s="253"/>
      <c r="D92" s="320"/>
      <c r="E92" s="320"/>
      <c r="F92" s="170"/>
      <c r="G92" s="118"/>
      <c r="H92" s="4"/>
      <c r="I92" s="137" t="s">
        <v>10</v>
      </c>
      <c r="J92" s="253"/>
      <c r="K92" s="320"/>
      <c r="L92" s="320"/>
      <c r="M92" s="170"/>
      <c r="N92" s="118"/>
      <c r="O92" s="4"/>
      <c r="P92" s="21" t="s">
        <v>10</v>
      </c>
      <c r="Q92" s="253"/>
      <c r="R92" s="320"/>
      <c r="S92" s="320"/>
      <c r="T92" s="170"/>
      <c r="U92" s="118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</row>
    <row r="93" spans="1:75" x14ac:dyDescent="0.3">
      <c r="A93" s="4"/>
      <c r="B93" s="137" t="s">
        <v>42</v>
      </c>
      <c r="C93" s="253"/>
      <c r="D93" s="320"/>
      <c r="E93" s="320"/>
      <c r="F93" s="170"/>
      <c r="G93" s="118"/>
      <c r="H93" s="4"/>
      <c r="I93" s="137" t="s">
        <v>42</v>
      </c>
      <c r="J93" s="253"/>
      <c r="K93" s="320"/>
      <c r="L93" s="320"/>
      <c r="M93" s="170"/>
      <c r="N93" s="118"/>
      <c r="O93" s="4"/>
      <c r="P93" s="21" t="s">
        <v>42</v>
      </c>
      <c r="Q93" s="253"/>
      <c r="R93" s="320"/>
      <c r="S93" s="320"/>
      <c r="T93" s="170"/>
      <c r="U93" s="118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</row>
    <row r="94" spans="1:75" x14ac:dyDescent="0.3">
      <c r="A94" s="4"/>
      <c r="B94" s="137" t="s">
        <v>12</v>
      </c>
      <c r="C94" s="253"/>
      <c r="D94" s="320"/>
      <c r="E94" s="320"/>
      <c r="F94" s="170"/>
      <c r="G94" s="118"/>
      <c r="H94" s="4"/>
      <c r="I94" s="137" t="s">
        <v>12</v>
      </c>
      <c r="J94" s="253"/>
      <c r="K94" s="320"/>
      <c r="L94" s="320"/>
      <c r="M94" s="170"/>
      <c r="N94" s="118"/>
      <c r="O94" s="4"/>
      <c r="P94" s="21" t="s">
        <v>12</v>
      </c>
      <c r="Q94" s="253"/>
      <c r="R94" s="320"/>
      <c r="S94" s="320"/>
      <c r="T94" s="170"/>
      <c r="U94" s="118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</row>
    <row r="95" spans="1:75" x14ac:dyDescent="0.3">
      <c r="A95" s="4"/>
      <c r="B95" s="137" t="s">
        <v>12</v>
      </c>
      <c r="C95" s="253"/>
      <c r="D95" s="320"/>
      <c r="E95" s="320"/>
      <c r="F95" s="170"/>
      <c r="G95" s="118"/>
      <c r="H95" s="4"/>
      <c r="I95" s="137" t="s">
        <v>12</v>
      </c>
      <c r="J95" s="253"/>
      <c r="K95" s="320"/>
      <c r="L95" s="320"/>
      <c r="M95" s="170"/>
      <c r="N95" s="118"/>
      <c r="O95" s="4"/>
      <c r="P95" s="21" t="s">
        <v>12</v>
      </c>
      <c r="Q95" s="253"/>
      <c r="R95" s="320"/>
      <c r="S95" s="320"/>
      <c r="T95" s="170"/>
      <c r="U95" s="118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</row>
    <row r="96" spans="1:75" x14ac:dyDescent="0.3">
      <c r="A96" s="4"/>
      <c r="B96" s="137" t="s">
        <v>43</v>
      </c>
      <c r="C96" s="253"/>
      <c r="D96" s="320"/>
      <c r="E96" s="320"/>
      <c r="F96" s="170"/>
      <c r="G96" s="118"/>
      <c r="H96" s="4"/>
      <c r="I96" s="137" t="s">
        <v>43</v>
      </c>
      <c r="J96" s="253"/>
      <c r="K96" s="320"/>
      <c r="L96" s="320"/>
      <c r="M96" s="170"/>
      <c r="N96" s="118"/>
      <c r="O96" s="4"/>
      <c r="P96" s="21" t="s">
        <v>43</v>
      </c>
      <c r="Q96" s="253"/>
      <c r="R96" s="320"/>
      <c r="S96" s="320"/>
      <c r="T96" s="170"/>
      <c r="U96" s="118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</row>
    <row r="97" spans="1:75" x14ac:dyDescent="0.3">
      <c r="A97" s="4"/>
      <c r="B97" s="137" t="s">
        <v>44</v>
      </c>
      <c r="C97" s="253"/>
      <c r="D97" s="320"/>
      <c r="E97" s="320"/>
      <c r="F97" s="170"/>
      <c r="G97" s="118"/>
      <c r="H97" s="4"/>
      <c r="I97" s="137" t="s">
        <v>44</v>
      </c>
      <c r="J97" s="253"/>
      <c r="K97" s="320"/>
      <c r="L97" s="320"/>
      <c r="M97" s="170"/>
      <c r="N97" s="118"/>
      <c r="O97" s="4"/>
      <c r="P97" s="21" t="s">
        <v>44</v>
      </c>
      <c r="Q97" s="253"/>
      <c r="R97" s="320"/>
      <c r="S97" s="320"/>
      <c r="T97" s="170"/>
      <c r="U97" s="118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</row>
    <row r="98" spans="1:75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</row>
    <row r="99" spans="1:75" ht="21" x14ac:dyDescent="0.3">
      <c r="A99" s="4"/>
      <c r="B99" s="322">
        <v>15</v>
      </c>
      <c r="C99" s="316"/>
      <c r="D99" s="317"/>
      <c r="E99" s="317"/>
      <c r="F99" s="93"/>
      <c r="G99" s="93"/>
      <c r="H99" s="4"/>
      <c r="I99" s="322">
        <v>20</v>
      </c>
      <c r="J99" s="316"/>
      <c r="K99" s="317"/>
      <c r="L99" s="317"/>
      <c r="M99" s="93"/>
      <c r="N99" s="93"/>
      <c r="O99" s="4"/>
      <c r="P99" s="26">
        <v>2</v>
      </c>
      <c r="Q99" s="316"/>
      <c r="R99" s="329"/>
      <c r="S99" s="317"/>
      <c r="T99" s="29"/>
      <c r="U99" s="29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</row>
    <row r="100" spans="1:75" ht="14.4" customHeight="1" x14ac:dyDescent="0.3">
      <c r="A100" s="4"/>
      <c r="B100" s="323"/>
      <c r="C100" s="324"/>
      <c r="D100" s="325"/>
      <c r="E100" s="325"/>
      <c r="F100" s="93" t="s">
        <v>45</v>
      </c>
      <c r="G100" s="93" t="s">
        <v>46</v>
      </c>
      <c r="H100" s="4"/>
      <c r="I100" s="323"/>
      <c r="J100" s="324"/>
      <c r="K100" s="325"/>
      <c r="L100" s="325"/>
      <c r="M100" s="93" t="s">
        <v>45</v>
      </c>
      <c r="N100" s="93" t="s">
        <v>46</v>
      </c>
      <c r="O100" s="4"/>
      <c r="P100" s="27" t="s">
        <v>197</v>
      </c>
      <c r="Q100" s="330"/>
      <c r="R100" s="331"/>
      <c r="S100" s="331"/>
      <c r="T100" s="29" t="s">
        <v>45</v>
      </c>
      <c r="U100" s="29" t="s">
        <v>46</v>
      </c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</row>
    <row r="101" spans="1:75" x14ac:dyDescent="0.3">
      <c r="A101" s="4"/>
      <c r="B101" s="137" t="s">
        <v>20</v>
      </c>
      <c r="C101" s="325"/>
      <c r="D101" s="325"/>
      <c r="E101" s="325"/>
      <c r="F101" s="179"/>
      <c r="G101" s="170">
        <f>(Summary!F46)</f>
        <v>0</v>
      </c>
      <c r="H101" s="4"/>
      <c r="I101" s="137" t="s">
        <v>20</v>
      </c>
      <c r="J101" s="325"/>
      <c r="K101" s="325"/>
      <c r="L101" s="325"/>
      <c r="M101" s="179"/>
      <c r="N101" s="170">
        <f>(Summary!F51)</f>
        <v>0</v>
      </c>
      <c r="O101" s="4"/>
      <c r="P101" s="28"/>
      <c r="Q101" s="331"/>
      <c r="R101" s="331"/>
      <c r="S101" s="331"/>
      <c r="T101" s="179"/>
      <c r="U101" s="170">
        <f>(Summary!F56)</f>
        <v>0</v>
      </c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</row>
    <row r="102" spans="1:75" x14ac:dyDescent="0.3">
      <c r="A102" s="4"/>
      <c r="B102" s="137" t="s">
        <v>10</v>
      </c>
      <c r="C102" s="253"/>
      <c r="D102" s="320"/>
      <c r="E102" s="320"/>
      <c r="F102" s="170"/>
      <c r="G102" s="118"/>
      <c r="H102" s="4"/>
      <c r="I102" s="137" t="s">
        <v>10</v>
      </c>
      <c r="J102" s="253"/>
      <c r="K102" s="320"/>
      <c r="L102" s="320"/>
      <c r="M102" s="170"/>
      <c r="N102" s="118"/>
      <c r="O102" s="4"/>
      <c r="P102" s="138" t="s">
        <v>10</v>
      </c>
      <c r="Q102" s="253"/>
      <c r="R102" s="320"/>
      <c r="S102" s="320"/>
      <c r="T102" s="170"/>
      <c r="U102" s="118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</row>
    <row r="103" spans="1:75" x14ac:dyDescent="0.3">
      <c r="A103" s="4"/>
      <c r="B103" s="137" t="s">
        <v>42</v>
      </c>
      <c r="C103" s="253"/>
      <c r="D103" s="320"/>
      <c r="E103" s="320"/>
      <c r="F103" s="170"/>
      <c r="G103" s="118"/>
      <c r="H103" s="4"/>
      <c r="I103" s="137" t="s">
        <v>42</v>
      </c>
      <c r="J103" s="253"/>
      <c r="K103" s="320"/>
      <c r="L103" s="320"/>
      <c r="M103" s="170"/>
      <c r="N103" s="118"/>
      <c r="O103" s="4"/>
      <c r="P103" s="138" t="s">
        <v>42</v>
      </c>
      <c r="Q103" s="253"/>
      <c r="R103" s="320"/>
      <c r="S103" s="320"/>
      <c r="T103" s="170"/>
      <c r="U103" s="118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</row>
    <row r="104" spans="1:75" x14ac:dyDescent="0.3">
      <c r="A104" s="4"/>
      <c r="B104" s="137" t="s">
        <v>12</v>
      </c>
      <c r="C104" s="253"/>
      <c r="D104" s="320"/>
      <c r="E104" s="320"/>
      <c r="F104" s="170"/>
      <c r="G104" s="118"/>
      <c r="H104" s="4"/>
      <c r="I104" s="137" t="s">
        <v>12</v>
      </c>
      <c r="J104" s="253"/>
      <c r="K104" s="320"/>
      <c r="L104" s="320"/>
      <c r="M104" s="170"/>
      <c r="N104" s="118"/>
      <c r="O104" s="4"/>
      <c r="P104" s="138" t="s">
        <v>12</v>
      </c>
      <c r="Q104" s="253"/>
      <c r="R104" s="320"/>
      <c r="S104" s="320"/>
      <c r="T104" s="170"/>
      <c r="U104" s="118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</row>
    <row r="105" spans="1:75" x14ac:dyDescent="0.3">
      <c r="A105" s="4"/>
      <c r="B105" s="137" t="s">
        <v>12</v>
      </c>
      <c r="C105" s="253"/>
      <c r="D105" s="320"/>
      <c r="E105" s="320"/>
      <c r="F105" s="170"/>
      <c r="G105" s="118"/>
      <c r="H105" s="4"/>
      <c r="I105" s="137" t="s">
        <v>12</v>
      </c>
      <c r="J105" s="253"/>
      <c r="K105" s="320"/>
      <c r="L105" s="320"/>
      <c r="M105" s="254"/>
      <c r="N105" s="118"/>
      <c r="O105" s="4"/>
      <c r="P105" s="138" t="s">
        <v>12</v>
      </c>
      <c r="Q105" s="253"/>
      <c r="R105" s="320"/>
      <c r="S105" s="320"/>
      <c r="T105" s="170"/>
      <c r="U105" s="118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</row>
    <row r="106" spans="1:75" x14ac:dyDescent="0.3">
      <c r="A106" s="4"/>
      <c r="B106" s="137" t="s">
        <v>43</v>
      </c>
      <c r="C106" s="253"/>
      <c r="D106" s="320"/>
      <c r="E106" s="320"/>
      <c r="F106" s="170"/>
      <c r="G106" s="118"/>
      <c r="H106" s="4"/>
      <c r="I106" s="137" t="s">
        <v>43</v>
      </c>
      <c r="J106" s="253"/>
      <c r="K106" s="320"/>
      <c r="L106" s="320"/>
      <c r="M106" s="170"/>
      <c r="N106" s="118"/>
      <c r="O106" s="4"/>
      <c r="P106" s="138" t="s">
        <v>43</v>
      </c>
      <c r="Q106" s="253"/>
      <c r="R106" s="320"/>
      <c r="S106" s="320"/>
      <c r="T106" s="170"/>
      <c r="U106" s="118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</row>
    <row r="107" spans="1:75" x14ac:dyDescent="0.3">
      <c r="A107" s="4"/>
      <c r="B107" s="137" t="s">
        <v>44</v>
      </c>
      <c r="C107" s="253"/>
      <c r="D107" s="320"/>
      <c r="E107" s="320"/>
      <c r="F107" s="170"/>
      <c r="G107" s="118"/>
      <c r="H107" s="4"/>
      <c r="I107" s="137" t="s">
        <v>44</v>
      </c>
      <c r="J107" s="253"/>
      <c r="K107" s="320"/>
      <c r="L107" s="320"/>
      <c r="M107" s="170"/>
      <c r="N107" s="118"/>
      <c r="O107" s="4"/>
      <c r="P107" s="138" t="s">
        <v>44</v>
      </c>
      <c r="Q107" s="253"/>
      <c r="R107" s="320"/>
      <c r="S107" s="320"/>
      <c r="T107" s="170"/>
      <c r="U107" s="118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</row>
    <row r="108" spans="1:75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</row>
    <row r="109" spans="1:75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</row>
    <row r="110" spans="1:75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</row>
    <row r="111" spans="1:75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</row>
    <row r="112" spans="1:75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</row>
    <row r="113" spans="1:75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</row>
    <row r="114" spans="1:75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</row>
    <row r="115" spans="1:75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</row>
    <row r="116" spans="1:75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</row>
    <row r="117" spans="1:75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</row>
    <row r="118" spans="1:75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</row>
    <row r="119" spans="1:75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</row>
    <row r="120" spans="1:75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</row>
    <row r="121" spans="1:75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</row>
    <row r="122" spans="1:75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</row>
    <row r="123" spans="1:75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</row>
    <row r="124" spans="1:75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</row>
    <row r="125" spans="1:75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</row>
    <row r="126" spans="1:75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</row>
    <row r="127" spans="1:75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</row>
    <row r="128" spans="1:75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</row>
    <row r="129" spans="1:75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</row>
    <row r="130" spans="1:75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</row>
    <row r="131" spans="1:75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</row>
    <row r="132" spans="1:75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</row>
    <row r="133" spans="1:75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</row>
    <row r="134" spans="1:75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</row>
    <row r="135" spans="1:75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</row>
    <row r="136" spans="1:75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</row>
    <row r="137" spans="1:75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</row>
    <row r="138" spans="1:75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</row>
    <row r="139" spans="1:75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</row>
    <row r="140" spans="1:75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</row>
    <row r="141" spans="1:75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</row>
    <row r="142" spans="1:75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</row>
    <row r="143" spans="1:75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</row>
    <row r="144" spans="1:75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</row>
    <row r="145" spans="1:75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</row>
    <row r="146" spans="1:75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</row>
    <row r="147" spans="1:75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</row>
    <row r="148" spans="1:75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</row>
    <row r="149" spans="1:75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</row>
    <row r="150" spans="1:75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</row>
    <row r="151" spans="1:75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</row>
    <row r="152" spans="1:75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</row>
    <row r="153" spans="1:75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</row>
    <row r="154" spans="1:75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</row>
    <row r="155" spans="1:75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</row>
    <row r="156" spans="1:75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</row>
    <row r="157" spans="1:75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</row>
    <row r="158" spans="1:75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</row>
    <row r="159" spans="1:75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</row>
    <row r="160" spans="1:75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</row>
    <row r="161" spans="1:75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</row>
    <row r="162" spans="1:75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</row>
    <row r="163" spans="1:75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</row>
    <row r="164" spans="1:75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</row>
    <row r="165" spans="1:75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</row>
    <row r="166" spans="1:75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</row>
    <row r="167" spans="1:75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</row>
    <row r="168" spans="1:75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</row>
    <row r="169" spans="1:75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</row>
    <row r="170" spans="1:75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</row>
    <row r="171" spans="1:75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</row>
    <row r="172" spans="1:75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</row>
    <row r="173" spans="1:75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</row>
    <row r="174" spans="1:75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</row>
    <row r="175" spans="1:75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</row>
    <row r="176" spans="1:75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</row>
    <row r="177" spans="1:34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</row>
    <row r="178" spans="1:34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</row>
    <row r="179" spans="1:34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</row>
    <row r="180" spans="1:34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</row>
    <row r="181" spans="1:34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</row>
    <row r="182" spans="1:34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</row>
    <row r="183" spans="1:34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</row>
    <row r="184" spans="1:34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</row>
    <row r="185" spans="1:34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</row>
    <row r="186" spans="1:34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</row>
    <row r="187" spans="1:34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</row>
    <row r="188" spans="1:34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</row>
    <row r="189" spans="1:34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</row>
    <row r="190" spans="1:34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</row>
    <row r="191" spans="1:34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</row>
    <row r="192" spans="1:34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</row>
    <row r="193" spans="1:34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</row>
    <row r="194" spans="1:34" x14ac:dyDescent="0.3">
      <c r="AA194" s="4"/>
      <c r="AB194" s="4"/>
      <c r="AC194" s="4"/>
      <c r="AD194" s="4"/>
      <c r="AE194" s="4"/>
      <c r="AF194" s="4"/>
      <c r="AG194" s="4"/>
      <c r="AH194" s="4"/>
    </row>
  </sheetData>
  <sheetProtection selectLockedCells="1"/>
  <mergeCells count="262">
    <mergeCell ref="R107:S107"/>
    <mergeCell ref="R106:S106"/>
    <mergeCell ref="R105:S105"/>
    <mergeCell ref="R104:S104"/>
    <mergeCell ref="R103:S103"/>
    <mergeCell ref="R102:S102"/>
    <mergeCell ref="R97:S97"/>
    <mergeCell ref="R96:S96"/>
    <mergeCell ref="R95:S95"/>
    <mergeCell ref="Q99:S99"/>
    <mergeCell ref="Q100:S101"/>
    <mergeCell ref="R54:S54"/>
    <mergeCell ref="R53:S53"/>
    <mergeCell ref="R52:S52"/>
    <mergeCell ref="R51:S51"/>
    <mergeCell ref="R50:S50"/>
    <mergeCell ref="R49:S49"/>
    <mergeCell ref="R94:S94"/>
    <mergeCell ref="R93:S93"/>
    <mergeCell ref="R92:S92"/>
    <mergeCell ref="R87:S87"/>
    <mergeCell ref="R86:S86"/>
    <mergeCell ref="R85:S85"/>
    <mergeCell ref="R84:S84"/>
    <mergeCell ref="R83:S83"/>
    <mergeCell ref="R82:S82"/>
    <mergeCell ref="R77:S77"/>
    <mergeCell ref="R76:S76"/>
    <mergeCell ref="R75:S75"/>
    <mergeCell ref="R74:S74"/>
    <mergeCell ref="R73:S73"/>
    <mergeCell ref="R72:S72"/>
    <mergeCell ref="R67:S67"/>
    <mergeCell ref="R66:S66"/>
    <mergeCell ref="Q79:S79"/>
    <mergeCell ref="R20:S20"/>
    <mergeCell ref="R19:S19"/>
    <mergeCell ref="R44:S44"/>
    <mergeCell ref="R43:S43"/>
    <mergeCell ref="R42:S42"/>
    <mergeCell ref="R41:S41"/>
    <mergeCell ref="R40:S40"/>
    <mergeCell ref="R39:S39"/>
    <mergeCell ref="R34:S34"/>
    <mergeCell ref="R33:S33"/>
    <mergeCell ref="R32:S32"/>
    <mergeCell ref="R31:S31"/>
    <mergeCell ref="R30:S30"/>
    <mergeCell ref="R29:S29"/>
    <mergeCell ref="K54:L54"/>
    <mergeCell ref="K53:L53"/>
    <mergeCell ref="K52:L52"/>
    <mergeCell ref="K51:L51"/>
    <mergeCell ref="K50:L50"/>
    <mergeCell ref="K42:L42"/>
    <mergeCell ref="K41:L41"/>
    <mergeCell ref="K40:L40"/>
    <mergeCell ref="K39:L39"/>
    <mergeCell ref="K49:L49"/>
    <mergeCell ref="D54:E54"/>
    <mergeCell ref="D53:E53"/>
    <mergeCell ref="D52:E52"/>
    <mergeCell ref="D51:E51"/>
    <mergeCell ref="D50:E50"/>
    <mergeCell ref="D49:E49"/>
    <mergeCell ref="D44:E44"/>
    <mergeCell ref="D43:E43"/>
    <mergeCell ref="D42:E42"/>
    <mergeCell ref="Q46:S46"/>
    <mergeCell ref="Q37:S38"/>
    <mergeCell ref="Q27:S28"/>
    <mergeCell ref="Q47:S48"/>
    <mergeCell ref="J36:L36"/>
    <mergeCell ref="J46:L46"/>
    <mergeCell ref="Q36:S36"/>
    <mergeCell ref="C37:E38"/>
    <mergeCell ref="C36:E36"/>
    <mergeCell ref="C46:E46"/>
    <mergeCell ref="D34:E34"/>
    <mergeCell ref="D33:E33"/>
    <mergeCell ref="D32:E32"/>
    <mergeCell ref="D31:E31"/>
    <mergeCell ref="D30:E30"/>
    <mergeCell ref="D29:E29"/>
    <mergeCell ref="D41:E41"/>
    <mergeCell ref="D40:E40"/>
    <mergeCell ref="D39:E39"/>
    <mergeCell ref="K29:L29"/>
    <mergeCell ref="K34:L34"/>
    <mergeCell ref="K33:L33"/>
    <mergeCell ref="K32:L32"/>
    <mergeCell ref="K31:L31"/>
    <mergeCell ref="J4:O4"/>
    <mergeCell ref="I46:I47"/>
    <mergeCell ref="I36:I37"/>
    <mergeCell ref="I26:I27"/>
    <mergeCell ref="I16:I17"/>
    <mergeCell ref="I6:I7"/>
    <mergeCell ref="J7:L8"/>
    <mergeCell ref="J17:L18"/>
    <mergeCell ref="J27:L28"/>
    <mergeCell ref="J37:L38"/>
    <mergeCell ref="J47:L48"/>
    <mergeCell ref="K44:L44"/>
    <mergeCell ref="K43:L43"/>
    <mergeCell ref="J6:L6"/>
    <mergeCell ref="K24:L24"/>
    <mergeCell ref="K23:L23"/>
    <mergeCell ref="K22:L22"/>
    <mergeCell ref="K21:L21"/>
    <mergeCell ref="K20:L20"/>
    <mergeCell ref="K19:L19"/>
    <mergeCell ref="K30:L30"/>
    <mergeCell ref="K14:L14"/>
    <mergeCell ref="K13:L13"/>
    <mergeCell ref="K12:L12"/>
    <mergeCell ref="B46:B47"/>
    <mergeCell ref="C47:E48"/>
    <mergeCell ref="B36:B37"/>
    <mergeCell ref="B6:B7"/>
    <mergeCell ref="C7:E8"/>
    <mergeCell ref="B16:B17"/>
    <mergeCell ref="C17:E18"/>
    <mergeCell ref="B26:B27"/>
    <mergeCell ref="C27:E28"/>
    <mergeCell ref="C6:E6"/>
    <mergeCell ref="D11:E11"/>
    <mergeCell ref="D12:E12"/>
    <mergeCell ref="D13:E13"/>
    <mergeCell ref="D14:E14"/>
    <mergeCell ref="D24:E24"/>
    <mergeCell ref="D23:E23"/>
    <mergeCell ref="D22:E22"/>
    <mergeCell ref="D21:E21"/>
    <mergeCell ref="D20:E20"/>
    <mergeCell ref="D19:E19"/>
    <mergeCell ref="Q6:S6"/>
    <mergeCell ref="C16:E16"/>
    <mergeCell ref="J16:L16"/>
    <mergeCell ref="Q16:S16"/>
    <mergeCell ref="C26:E26"/>
    <mergeCell ref="J26:L26"/>
    <mergeCell ref="Q26:S26"/>
    <mergeCell ref="Q7:S8"/>
    <mergeCell ref="Q17:S18"/>
    <mergeCell ref="D9:E9"/>
    <mergeCell ref="D10:E10"/>
    <mergeCell ref="K11:L11"/>
    <mergeCell ref="K10:L10"/>
    <mergeCell ref="K9:L9"/>
    <mergeCell ref="R14:S14"/>
    <mergeCell ref="R13:S13"/>
    <mergeCell ref="R12:S12"/>
    <mergeCell ref="R11:S11"/>
    <mergeCell ref="R10:S10"/>
    <mergeCell ref="R9:S9"/>
    <mergeCell ref="R24:S24"/>
    <mergeCell ref="R23:S23"/>
    <mergeCell ref="R22:S22"/>
    <mergeCell ref="R21:S21"/>
    <mergeCell ref="B59:B60"/>
    <mergeCell ref="C59:E59"/>
    <mergeCell ref="C60:E61"/>
    <mergeCell ref="D67:E67"/>
    <mergeCell ref="D66:E66"/>
    <mergeCell ref="D65:E65"/>
    <mergeCell ref="D64:E64"/>
    <mergeCell ref="D63:E63"/>
    <mergeCell ref="D62:E62"/>
    <mergeCell ref="I59:I60"/>
    <mergeCell ref="J59:L59"/>
    <mergeCell ref="J60:L61"/>
    <mergeCell ref="K67:L67"/>
    <mergeCell ref="K66:L66"/>
    <mergeCell ref="K65:L65"/>
    <mergeCell ref="K64:L64"/>
    <mergeCell ref="K63:L63"/>
    <mergeCell ref="K62:L62"/>
    <mergeCell ref="B69:B70"/>
    <mergeCell ref="C69:E69"/>
    <mergeCell ref="C70:E71"/>
    <mergeCell ref="D77:E77"/>
    <mergeCell ref="D76:E76"/>
    <mergeCell ref="D75:E75"/>
    <mergeCell ref="D74:E74"/>
    <mergeCell ref="D73:E73"/>
    <mergeCell ref="D72:E72"/>
    <mergeCell ref="I69:I70"/>
    <mergeCell ref="J69:L69"/>
    <mergeCell ref="J70:L71"/>
    <mergeCell ref="K72:L72"/>
    <mergeCell ref="K73:L73"/>
    <mergeCell ref="K74:L74"/>
    <mergeCell ref="K75:L75"/>
    <mergeCell ref="K76:L76"/>
    <mergeCell ref="K77:L77"/>
    <mergeCell ref="K85:L85"/>
    <mergeCell ref="K84:L84"/>
    <mergeCell ref="K83:L83"/>
    <mergeCell ref="K82:L82"/>
    <mergeCell ref="B79:B80"/>
    <mergeCell ref="C79:E79"/>
    <mergeCell ref="C80:E81"/>
    <mergeCell ref="D87:E87"/>
    <mergeCell ref="D86:E86"/>
    <mergeCell ref="D85:E85"/>
    <mergeCell ref="D84:E84"/>
    <mergeCell ref="D83:E83"/>
    <mergeCell ref="D82:E82"/>
    <mergeCell ref="B89:B90"/>
    <mergeCell ref="C89:E89"/>
    <mergeCell ref="C90:E91"/>
    <mergeCell ref="D97:E97"/>
    <mergeCell ref="D96:E96"/>
    <mergeCell ref="D95:E95"/>
    <mergeCell ref="D94:E94"/>
    <mergeCell ref="D93:E93"/>
    <mergeCell ref="D92:E92"/>
    <mergeCell ref="B99:B100"/>
    <mergeCell ref="C99:E99"/>
    <mergeCell ref="C100:E101"/>
    <mergeCell ref="D107:E107"/>
    <mergeCell ref="D106:E106"/>
    <mergeCell ref="D105:E105"/>
    <mergeCell ref="D104:E104"/>
    <mergeCell ref="D103:E103"/>
    <mergeCell ref="D102:E102"/>
    <mergeCell ref="I57:N57"/>
    <mergeCell ref="I99:I100"/>
    <mergeCell ref="J99:L99"/>
    <mergeCell ref="J100:L101"/>
    <mergeCell ref="K104:L104"/>
    <mergeCell ref="K103:L103"/>
    <mergeCell ref="K102:L102"/>
    <mergeCell ref="K107:L107"/>
    <mergeCell ref="K106:L106"/>
    <mergeCell ref="K105:L105"/>
    <mergeCell ref="I89:I90"/>
    <mergeCell ref="J89:L89"/>
    <mergeCell ref="J90:L91"/>
    <mergeCell ref="K97:L97"/>
    <mergeCell ref="K96:L96"/>
    <mergeCell ref="K95:L95"/>
    <mergeCell ref="K94:L94"/>
    <mergeCell ref="K93:L93"/>
    <mergeCell ref="K92:L92"/>
    <mergeCell ref="I79:I80"/>
    <mergeCell ref="J79:L79"/>
    <mergeCell ref="J80:L81"/>
    <mergeCell ref="K87:L87"/>
    <mergeCell ref="K86:L86"/>
    <mergeCell ref="Q89:S89"/>
    <mergeCell ref="Q90:S91"/>
    <mergeCell ref="Q70:S71"/>
    <mergeCell ref="Q80:S81"/>
    <mergeCell ref="Q59:S59"/>
    <mergeCell ref="Q60:S61"/>
    <mergeCell ref="Q69:S69"/>
    <mergeCell ref="R65:S65"/>
    <mergeCell ref="R64:S64"/>
    <mergeCell ref="R63:S63"/>
    <mergeCell ref="R62:S62"/>
  </mergeCells>
  <dataValidations count="32">
    <dataValidation type="list" allowBlank="1" showInputMessage="1" sqref="C7:E8 C17:E18 C27:E28 C37:E38 J37:L38 J27:L28 J17:L18 J7:L8 Q7:S8 Q17:S18 Q27:S28 Q37:S38 C47:E48 J47:L48 Q47:S48 C60:E61 J60:L61 C70:E71 J70:L71 C80:E81 J80:L81 C90:E91 J90:L91 C100:E101 J100:L101 Q60:S61 Q70:S71 Q80:S81 Q90:S91 Q100:S101">
      <formula1>CALLSIGNS</formula1>
    </dataValidation>
    <dataValidation type="list" allowBlank="1" showInputMessage="1" sqref="D9:E14">
      <formula1>INDIRECT($C$7)</formula1>
    </dataValidation>
    <dataValidation type="list" allowBlank="1" showInputMessage="1" sqref="D19:E24">
      <formula1>INDIRECT($C$17)</formula1>
    </dataValidation>
    <dataValidation type="list" allowBlank="1" showInputMessage="1" sqref="D29:D34">
      <formula1>INDIRECT($C$27)</formula1>
    </dataValidation>
    <dataValidation type="list" allowBlank="1" showInputMessage="1" sqref="D39:D44">
      <formula1>INDIRECT($C$37)</formula1>
    </dataValidation>
    <dataValidation type="list" allowBlank="1" showInputMessage="1" sqref="D49:D54">
      <formula1>INDIRECT($C$47)</formula1>
    </dataValidation>
    <dataValidation type="list" allowBlank="1" showInputMessage="1" sqref="K9:K14">
      <formula1>INDIRECT($J$7)</formula1>
    </dataValidation>
    <dataValidation type="list" allowBlank="1" showInputMessage="1" sqref="K19:K24">
      <formula1>INDIRECT($J$17)</formula1>
    </dataValidation>
    <dataValidation type="list" allowBlank="1" showInputMessage="1" sqref="K29:K34">
      <formula1>INDIRECT($J$27)</formula1>
    </dataValidation>
    <dataValidation type="list" allowBlank="1" showInputMessage="1" sqref="K39:K44">
      <formula1>INDIRECT($J$37)</formula1>
    </dataValidation>
    <dataValidation type="list" allowBlank="1" showInputMessage="1" sqref="K49:K50 K52:K54">
      <formula1>INDIRECT($J$47)</formula1>
    </dataValidation>
    <dataValidation type="list" allowBlank="1" showInputMessage="1" sqref="R9:R14">
      <formula1>INDIRECT($Q$7)</formula1>
    </dataValidation>
    <dataValidation type="list" allowBlank="1" showInputMessage="1" sqref="R19:R24">
      <formula1>INDIRECT($Q$17)</formula1>
    </dataValidation>
    <dataValidation type="list" allowBlank="1" showInputMessage="1" sqref="R29:R34">
      <formula1>INDIRECT($Q$27)</formula1>
    </dataValidation>
    <dataValidation type="list" allowBlank="1" showInputMessage="1" sqref="R39:R44">
      <formula1>INDIRECT($Q$37)</formula1>
    </dataValidation>
    <dataValidation type="list" allowBlank="1" showInputMessage="1" sqref="R49:R54">
      <formula1>INDIRECT($Q$47)</formula1>
    </dataValidation>
    <dataValidation type="list" allowBlank="1" showInputMessage="1" sqref="J6:L6 C16:E16 J16:L16 Q6:S6 Q16:S16 Q26:S26 J26:L26 C26:E26 C36:E36 J36:L36 Q36:S36 C46:E46 J46:L46 Q46:S46 C59:E59 J59:L59 C69:E69 J69:L69 C79:E79 J79:L79 C89:E89 J89:L89 C99:E99 J99:L99 Q59:S59 Q69:S69 Q79:S79 Q89:S89 Q99:S99">
      <formula1>SECTORS</formula1>
    </dataValidation>
    <dataValidation type="list" allowBlank="1" showInputMessage="1" sqref="D62:D67">
      <formula1>INDIRECT($C$60)</formula1>
    </dataValidation>
    <dataValidation type="list" allowBlank="1" showInputMessage="1" sqref="R102:R107">
      <formula1>INDIRECT($Q$100)</formula1>
    </dataValidation>
    <dataValidation type="list" allowBlank="1" showInputMessage="1" sqref="K62:K67">
      <formula1>INDIRECT($J$60)</formula1>
    </dataValidation>
    <dataValidation type="list" allowBlank="1" showInputMessage="1" sqref="R62:R67">
      <formula1>INDIRECT($Q$60)</formula1>
    </dataValidation>
    <dataValidation type="list" allowBlank="1" showInputMessage="1" sqref="D72:D77">
      <formula1>INDIRECT($C$70)</formula1>
    </dataValidation>
    <dataValidation type="list" allowBlank="1" showInputMessage="1" sqref="K72:K77">
      <formula1>INDIRECT($J$70)</formula1>
    </dataValidation>
    <dataValidation type="list" allowBlank="1" showInputMessage="1" sqref="R72:R77">
      <formula1>INDIRECT($Q$70)</formula1>
    </dataValidation>
    <dataValidation type="list" allowBlank="1" showInputMessage="1" sqref="D82:D87">
      <formula1>INDIRECT($C$80)</formula1>
    </dataValidation>
    <dataValidation type="list" allowBlank="1" showInputMessage="1" sqref="K82:K87">
      <formula1>INDIRECT($J$80)</formula1>
    </dataValidation>
    <dataValidation type="list" allowBlank="1" showInputMessage="1" sqref="R82:R87">
      <formula1>INDIRECT($Q$80)</formula1>
    </dataValidation>
    <dataValidation type="list" allowBlank="1" showInputMessage="1" sqref="D92:D97">
      <formula1>INDIRECT($C$90)</formula1>
    </dataValidation>
    <dataValidation type="list" allowBlank="1" showInputMessage="1" sqref="K92:K97">
      <formula1>INDIRECT($J$90)</formula1>
    </dataValidation>
    <dataValidation type="list" allowBlank="1" showInputMessage="1" sqref="R92:R95 R97">
      <formula1>INDIRECT($Q$90)</formula1>
    </dataValidation>
    <dataValidation type="list" allowBlank="1" showInputMessage="1" sqref="D102:D107">
      <formula1>INDIRECT($C$100)</formula1>
    </dataValidation>
    <dataValidation type="list" allowBlank="1" showInputMessage="1" sqref="K102:K107">
      <formula1>INDIRECT($J$100)</formula1>
    </dataValidation>
  </dataValidations>
  <pageMargins left="0.7" right="0.7" top="0.75" bottom="0.75" header="0.3" footer="0.3"/>
  <pageSetup paperSize="9" scale="39" fitToHeight="0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EXTRAS!$H$3:$H$15</xm:f>
          </x14:formula1>
          <xm:sqref>C6:E6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BB134"/>
  <sheetViews>
    <sheetView showRowColHeaders="0" showZeros="0" zoomScaleNormal="100" workbookViewId="0">
      <selection activeCell="C7" sqref="C7:E8"/>
    </sheetView>
  </sheetViews>
  <sheetFormatPr defaultRowHeight="14.4" x14ac:dyDescent="0.3"/>
  <cols>
    <col min="8" max="8" width="1.33203125" customWidth="1"/>
    <col min="15" max="15" width="1.33203125" customWidth="1"/>
  </cols>
  <sheetData>
    <row r="1" spans="1:54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</row>
    <row r="2" spans="1:54" x14ac:dyDescent="0.3">
      <c r="A2" s="91"/>
      <c r="B2" s="92"/>
      <c r="C2" s="91"/>
      <c r="D2" s="91"/>
      <c r="E2" s="91"/>
      <c r="F2" s="91"/>
      <c r="G2" s="91"/>
      <c r="H2" s="91"/>
      <c r="I2" s="337" t="s">
        <v>34</v>
      </c>
      <c r="J2" s="337"/>
      <c r="K2" s="337"/>
      <c r="L2" s="337"/>
      <c r="M2" s="337"/>
      <c r="N2" s="337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</row>
    <row r="3" spans="1:54" x14ac:dyDescent="0.3">
      <c r="A3" s="91"/>
      <c r="B3" s="92"/>
      <c r="C3" s="91"/>
      <c r="D3" s="91"/>
      <c r="E3" s="91"/>
      <c r="F3" s="91"/>
      <c r="G3" s="91"/>
      <c r="H3" s="91"/>
      <c r="I3" s="337"/>
      <c r="J3" s="337"/>
      <c r="K3" s="337"/>
      <c r="L3" s="337"/>
      <c r="M3" s="337"/>
      <c r="N3" s="337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91"/>
      <c r="B4" s="92"/>
      <c r="C4" s="91"/>
      <c r="D4" s="91"/>
      <c r="E4" s="91"/>
      <c r="F4" s="91"/>
      <c r="G4" s="91"/>
      <c r="H4" s="91"/>
      <c r="I4" s="337"/>
      <c r="J4" s="337"/>
      <c r="K4" s="337"/>
      <c r="L4" s="337"/>
      <c r="M4" s="337"/>
      <c r="N4" s="337"/>
      <c r="O4" s="9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</row>
    <row r="5" spans="1:54" ht="14.25" customHeight="1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</row>
    <row r="6" spans="1:54" ht="15" customHeight="1" x14ac:dyDescent="0.3">
      <c r="A6" s="91"/>
      <c r="B6" s="322">
        <v>1</v>
      </c>
      <c r="C6" s="332"/>
      <c r="D6" s="332"/>
      <c r="E6" s="334"/>
      <c r="F6" s="93"/>
      <c r="G6" s="93"/>
      <c r="H6" s="91"/>
      <c r="I6" s="322">
        <v>6</v>
      </c>
      <c r="J6" s="332"/>
      <c r="K6" s="336"/>
      <c r="L6" s="334"/>
      <c r="M6" s="93"/>
      <c r="N6" s="93"/>
      <c r="O6" s="4"/>
      <c r="P6" s="23">
        <v>1</v>
      </c>
      <c r="Q6" s="332"/>
      <c r="R6" s="336"/>
      <c r="S6" s="334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</row>
    <row r="7" spans="1:54" x14ac:dyDescent="0.3">
      <c r="A7" s="91"/>
      <c r="B7" s="322"/>
      <c r="C7" s="324"/>
      <c r="D7" s="324"/>
      <c r="E7" s="324"/>
      <c r="F7" s="93" t="s">
        <v>45</v>
      </c>
      <c r="G7" s="93" t="s">
        <v>46</v>
      </c>
      <c r="H7" s="91"/>
      <c r="I7" s="323"/>
      <c r="J7" s="324"/>
      <c r="K7" s="325"/>
      <c r="L7" s="325"/>
      <c r="M7" s="93" t="s">
        <v>45</v>
      </c>
      <c r="N7" s="93" t="s">
        <v>46</v>
      </c>
      <c r="O7" s="4"/>
      <c r="P7" s="24" t="s">
        <v>196</v>
      </c>
      <c r="Q7" s="318"/>
      <c r="R7" s="319"/>
      <c r="S7" s="319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</row>
    <row r="8" spans="1:54" x14ac:dyDescent="0.3">
      <c r="A8" s="91"/>
      <c r="B8" s="89" t="s">
        <v>20</v>
      </c>
      <c r="C8" s="324"/>
      <c r="D8" s="324"/>
      <c r="E8" s="324"/>
      <c r="F8" s="179"/>
      <c r="G8" s="180">
        <f>(Summary!Z3)</f>
        <v>0</v>
      </c>
      <c r="H8" s="91"/>
      <c r="I8" s="89" t="s">
        <v>20</v>
      </c>
      <c r="J8" s="325"/>
      <c r="K8" s="325"/>
      <c r="L8" s="325"/>
      <c r="M8" s="187"/>
      <c r="N8" s="170">
        <f>(Summary!Z8)</f>
        <v>0</v>
      </c>
      <c r="O8" s="4"/>
      <c r="P8" s="25" t="s">
        <v>20</v>
      </c>
      <c r="Q8" s="319"/>
      <c r="R8" s="319"/>
      <c r="S8" s="319"/>
      <c r="T8" s="179"/>
      <c r="U8" s="170">
        <f>(Summary!Z13)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</row>
    <row r="9" spans="1:54" x14ac:dyDescent="0.3">
      <c r="A9" s="4"/>
      <c r="B9" s="89" t="s">
        <v>10</v>
      </c>
      <c r="C9" s="279"/>
      <c r="D9" s="279"/>
      <c r="E9" s="279"/>
      <c r="F9" s="118"/>
      <c r="G9" s="128"/>
      <c r="H9" s="4"/>
      <c r="I9" s="89" t="s">
        <v>10</v>
      </c>
      <c r="J9" s="279"/>
      <c r="K9" s="317"/>
      <c r="L9" s="317"/>
      <c r="M9" s="97"/>
      <c r="N9" s="128"/>
      <c r="O9" s="4"/>
      <c r="P9" s="21" t="s">
        <v>10</v>
      </c>
      <c r="Q9" s="279"/>
      <c r="R9" s="317"/>
      <c r="S9" s="317"/>
      <c r="T9" s="97"/>
      <c r="U9" s="12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</row>
    <row r="10" spans="1:54" ht="15" x14ac:dyDescent="0.25">
      <c r="A10" s="4"/>
      <c r="B10" s="89" t="s">
        <v>42</v>
      </c>
      <c r="C10" s="279"/>
      <c r="D10" s="279"/>
      <c r="E10" s="279"/>
      <c r="F10" s="118"/>
      <c r="G10" s="128"/>
      <c r="H10" s="4"/>
      <c r="I10" s="89" t="s">
        <v>42</v>
      </c>
      <c r="J10" s="279"/>
      <c r="K10" s="317"/>
      <c r="L10" s="317"/>
      <c r="M10" s="97"/>
      <c r="N10" s="128"/>
      <c r="O10" s="4"/>
      <c r="P10" s="21" t="s">
        <v>42</v>
      </c>
      <c r="Q10" s="279"/>
      <c r="R10" s="317"/>
      <c r="S10" s="317"/>
      <c r="T10" s="97"/>
      <c r="U10" s="12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</row>
    <row r="11" spans="1:54" ht="15" x14ac:dyDescent="0.25">
      <c r="A11" s="4"/>
      <c r="B11" s="89" t="s">
        <v>12</v>
      </c>
      <c r="C11" s="279"/>
      <c r="D11" s="279"/>
      <c r="E11" s="279"/>
      <c r="F11" s="118"/>
      <c r="G11" s="128"/>
      <c r="H11" s="4"/>
      <c r="I11" s="89" t="s">
        <v>12</v>
      </c>
      <c r="J11" s="279"/>
      <c r="K11" s="317"/>
      <c r="L11" s="317"/>
      <c r="M11" s="97"/>
      <c r="N11" s="128"/>
      <c r="O11" s="4"/>
      <c r="P11" s="21" t="s">
        <v>12</v>
      </c>
      <c r="Q11" s="279"/>
      <c r="R11" s="317"/>
      <c r="S11" s="317"/>
      <c r="T11" s="97"/>
      <c r="U11" s="12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</row>
    <row r="12" spans="1:54" ht="15" x14ac:dyDescent="0.25">
      <c r="A12" s="4"/>
      <c r="B12" s="89" t="s">
        <v>12</v>
      </c>
      <c r="C12" s="279"/>
      <c r="D12" s="279"/>
      <c r="E12" s="279"/>
      <c r="F12" s="118"/>
      <c r="G12" s="128"/>
      <c r="H12" s="4"/>
      <c r="I12" s="89" t="s">
        <v>12</v>
      </c>
      <c r="J12" s="279"/>
      <c r="K12" s="317"/>
      <c r="L12" s="317"/>
      <c r="M12" s="97"/>
      <c r="N12" s="128"/>
      <c r="O12" s="4"/>
      <c r="P12" s="21" t="s">
        <v>12</v>
      </c>
      <c r="Q12" s="279"/>
      <c r="R12" s="317"/>
      <c r="S12" s="317"/>
      <c r="T12" s="97"/>
      <c r="U12" s="12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</row>
    <row r="13" spans="1:54" ht="15" x14ac:dyDescent="0.25">
      <c r="A13" s="4"/>
      <c r="B13" s="89" t="s">
        <v>43</v>
      </c>
      <c r="C13" s="279"/>
      <c r="D13" s="279"/>
      <c r="E13" s="279"/>
      <c r="F13" s="118"/>
      <c r="G13" s="128"/>
      <c r="H13" s="4"/>
      <c r="I13" s="89" t="s">
        <v>43</v>
      </c>
      <c r="J13" s="279"/>
      <c r="K13" s="317"/>
      <c r="L13" s="317"/>
      <c r="M13" s="97"/>
      <c r="N13" s="128"/>
      <c r="O13" s="4"/>
      <c r="P13" s="21" t="s">
        <v>43</v>
      </c>
      <c r="Q13" s="279"/>
      <c r="R13" s="317"/>
      <c r="S13" s="317"/>
      <c r="T13" s="97"/>
      <c r="U13" s="12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</row>
    <row r="14" spans="1:54" ht="15" x14ac:dyDescent="0.25">
      <c r="A14" s="4"/>
      <c r="B14" s="89" t="s">
        <v>44</v>
      </c>
      <c r="C14" s="279"/>
      <c r="D14" s="279"/>
      <c r="E14" s="279"/>
      <c r="F14" s="118"/>
      <c r="G14" s="128"/>
      <c r="H14" s="4"/>
      <c r="I14" s="89" t="s">
        <v>44</v>
      </c>
      <c r="J14" s="279"/>
      <c r="K14" s="317"/>
      <c r="L14" s="317"/>
      <c r="M14" s="97"/>
      <c r="N14" s="128"/>
      <c r="O14" s="4"/>
      <c r="P14" s="21" t="s">
        <v>44</v>
      </c>
      <c r="Q14" s="279"/>
      <c r="R14" s="317"/>
      <c r="S14" s="317"/>
      <c r="T14" s="97"/>
      <c r="U14" s="12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</row>
    <row r="15" spans="1:54" ht="15" x14ac:dyDescent="0.25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</row>
    <row r="16" spans="1:54" ht="15" customHeight="1" x14ac:dyDescent="0.3">
      <c r="A16" s="4"/>
      <c r="B16" s="322">
        <v>2</v>
      </c>
      <c r="C16" s="332"/>
      <c r="D16" s="332"/>
      <c r="E16" s="334"/>
      <c r="F16" s="93"/>
      <c r="G16" s="93"/>
      <c r="H16" s="4"/>
      <c r="I16" s="322">
        <v>7</v>
      </c>
      <c r="J16" s="332"/>
      <c r="K16" s="336"/>
      <c r="L16" s="334"/>
      <c r="M16" s="93"/>
      <c r="N16" s="93"/>
      <c r="O16" s="4"/>
      <c r="P16" s="23">
        <v>2</v>
      </c>
      <c r="Q16" s="332"/>
      <c r="R16" s="336"/>
      <c r="S16" s="334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</row>
    <row r="17" spans="1:54" x14ac:dyDescent="0.3">
      <c r="A17" s="4"/>
      <c r="B17" s="322"/>
      <c r="C17" s="324"/>
      <c r="D17" s="324"/>
      <c r="E17" s="324"/>
      <c r="F17" s="93" t="s">
        <v>45</v>
      </c>
      <c r="G17" s="93" t="s">
        <v>46</v>
      </c>
      <c r="H17" s="4"/>
      <c r="I17" s="323"/>
      <c r="J17" s="324"/>
      <c r="K17" s="325"/>
      <c r="L17" s="325"/>
      <c r="M17" s="93" t="s">
        <v>45</v>
      </c>
      <c r="N17" s="93" t="s">
        <v>46</v>
      </c>
      <c r="O17" s="4"/>
      <c r="P17" s="24" t="s">
        <v>196</v>
      </c>
      <c r="Q17" s="318"/>
      <c r="R17" s="319"/>
      <c r="S17" s="319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</row>
    <row r="18" spans="1:54" x14ac:dyDescent="0.3">
      <c r="A18" s="4"/>
      <c r="B18" s="89" t="s">
        <v>20</v>
      </c>
      <c r="C18" s="324"/>
      <c r="D18" s="324"/>
      <c r="E18" s="324"/>
      <c r="F18" s="179"/>
      <c r="G18" s="170">
        <f>(Summary!Z4)</f>
        <v>0</v>
      </c>
      <c r="H18" s="4"/>
      <c r="I18" s="89" t="s">
        <v>20</v>
      </c>
      <c r="J18" s="325"/>
      <c r="K18" s="325"/>
      <c r="L18" s="325"/>
      <c r="M18" s="187"/>
      <c r="N18" s="170">
        <f>(Summary!Z9)</f>
        <v>0</v>
      </c>
      <c r="O18" s="4"/>
      <c r="P18" s="25" t="s">
        <v>20</v>
      </c>
      <c r="Q18" s="319"/>
      <c r="R18" s="319"/>
      <c r="S18" s="319"/>
      <c r="T18" s="187"/>
      <c r="U18" s="170">
        <f>(Summary!Z14)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</row>
    <row r="19" spans="1:54" x14ac:dyDescent="0.3">
      <c r="A19" s="4"/>
      <c r="B19" s="89" t="s">
        <v>10</v>
      </c>
      <c r="C19" s="279"/>
      <c r="D19" s="279"/>
      <c r="E19" s="279"/>
      <c r="F19" s="97"/>
      <c r="G19" s="128"/>
      <c r="H19" s="4"/>
      <c r="I19" s="89" t="s">
        <v>10</v>
      </c>
      <c r="J19" s="279"/>
      <c r="K19" s="317"/>
      <c r="L19" s="317"/>
      <c r="M19" s="97"/>
      <c r="N19" s="128"/>
      <c r="O19" s="4"/>
      <c r="P19" s="21" t="s">
        <v>10</v>
      </c>
      <c r="Q19" s="279"/>
      <c r="R19" s="317"/>
      <c r="S19" s="317"/>
      <c r="T19" s="97"/>
      <c r="U19" s="12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</row>
    <row r="20" spans="1:54" x14ac:dyDescent="0.3">
      <c r="A20" s="4"/>
      <c r="B20" s="89" t="s">
        <v>42</v>
      </c>
      <c r="C20" s="279"/>
      <c r="D20" s="279"/>
      <c r="E20" s="279"/>
      <c r="F20" s="97"/>
      <c r="G20" s="128"/>
      <c r="H20" s="4"/>
      <c r="I20" s="89" t="s">
        <v>42</v>
      </c>
      <c r="J20" s="279"/>
      <c r="K20" s="317"/>
      <c r="L20" s="317"/>
      <c r="M20" s="97"/>
      <c r="N20" s="128"/>
      <c r="O20" s="4"/>
      <c r="P20" s="21" t="s">
        <v>42</v>
      </c>
      <c r="Q20" s="279"/>
      <c r="R20" s="317"/>
      <c r="S20" s="317"/>
      <c r="T20" s="97"/>
      <c r="U20" s="12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</row>
    <row r="21" spans="1:54" x14ac:dyDescent="0.3">
      <c r="A21" s="4"/>
      <c r="B21" s="89" t="s">
        <v>12</v>
      </c>
      <c r="C21" s="279"/>
      <c r="D21" s="279"/>
      <c r="E21" s="279"/>
      <c r="F21" s="97"/>
      <c r="G21" s="128"/>
      <c r="H21" s="4"/>
      <c r="I21" s="89" t="s">
        <v>12</v>
      </c>
      <c r="J21" s="279"/>
      <c r="K21" s="317"/>
      <c r="L21" s="317"/>
      <c r="M21" s="97"/>
      <c r="N21" s="128"/>
      <c r="O21" s="4"/>
      <c r="P21" s="21" t="s">
        <v>12</v>
      </c>
      <c r="Q21" s="279"/>
      <c r="R21" s="317"/>
      <c r="S21" s="317"/>
      <c r="T21" s="97"/>
      <c r="U21" s="12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</row>
    <row r="22" spans="1:54" x14ac:dyDescent="0.3">
      <c r="A22" s="4"/>
      <c r="B22" s="89" t="s">
        <v>12</v>
      </c>
      <c r="C22" s="279"/>
      <c r="D22" s="279"/>
      <c r="E22" s="279"/>
      <c r="F22" s="97"/>
      <c r="G22" s="128"/>
      <c r="H22" s="4"/>
      <c r="I22" s="89" t="s">
        <v>12</v>
      </c>
      <c r="J22" s="279"/>
      <c r="K22" s="317"/>
      <c r="L22" s="317"/>
      <c r="M22" s="97"/>
      <c r="N22" s="128"/>
      <c r="O22" s="4"/>
      <c r="P22" s="21" t="s">
        <v>12</v>
      </c>
      <c r="Q22" s="279"/>
      <c r="R22" s="317"/>
      <c r="S22" s="317"/>
      <c r="T22" s="97"/>
      <c r="U22" s="12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</row>
    <row r="23" spans="1:54" x14ac:dyDescent="0.3">
      <c r="A23" s="4"/>
      <c r="B23" s="89" t="s">
        <v>43</v>
      </c>
      <c r="C23" s="279"/>
      <c r="D23" s="279"/>
      <c r="E23" s="279"/>
      <c r="F23" s="97"/>
      <c r="G23" s="128"/>
      <c r="H23" s="4"/>
      <c r="I23" s="89" t="s">
        <v>43</v>
      </c>
      <c r="J23" s="279"/>
      <c r="K23" s="317"/>
      <c r="L23" s="317"/>
      <c r="M23" s="97"/>
      <c r="N23" s="128"/>
      <c r="O23" s="4"/>
      <c r="P23" s="21" t="s">
        <v>43</v>
      </c>
      <c r="Q23" s="279"/>
      <c r="R23" s="317"/>
      <c r="S23" s="317"/>
      <c r="T23" s="97"/>
      <c r="U23" s="12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</row>
    <row r="24" spans="1:54" x14ac:dyDescent="0.3">
      <c r="A24" s="4"/>
      <c r="B24" s="89" t="s">
        <v>44</v>
      </c>
      <c r="C24" s="279"/>
      <c r="D24" s="279"/>
      <c r="E24" s="279"/>
      <c r="F24" s="97"/>
      <c r="G24" s="128"/>
      <c r="H24" s="4"/>
      <c r="I24" s="89" t="s">
        <v>44</v>
      </c>
      <c r="J24" s="279"/>
      <c r="K24" s="317"/>
      <c r="L24" s="317"/>
      <c r="M24" s="97"/>
      <c r="N24" s="128"/>
      <c r="O24" s="4"/>
      <c r="P24" s="21" t="s">
        <v>44</v>
      </c>
      <c r="Q24" s="279"/>
      <c r="R24" s="317"/>
      <c r="S24" s="317"/>
      <c r="T24" s="97"/>
      <c r="U24" s="12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</row>
    <row r="25" spans="1:54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</row>
    <row r="26" spans="1:54" ht="16.5" customHeight="1" x14ac:dyDescent="0.3">
      <c r="A26" s="4"/>
      <c r="B26" s="322">
        <v>3</v>
      </c>
      <c r="C26" s="332"/>
      <c r="D26" s="336"/>
      <c r="E26" s="334"/>
      <c r="F26" s="93"/>
      <c r="G26" s="93"/>
      <c r="H26" s="4"/>
      <c r="I26" s="322">
        <v>8</v>
      </c>
      <c r="J26" s="332"/>
      <c r="K26" s="336"/>
      <c r="L26" s="334"/>
      <c r="M26" s="20"/>
      <c r="N26" s="20"/>
      <c r="O26" s="4"/>
      <c r="P26" s="23">
        <v>3</v>
      </c>
      <c r="Q26" s="332"/>
      <c r="R26" s="336"/>
      <c r="S26" s="334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</row>
    <row r="27" spans="1:54" x14ac:dyDescent="0.3">
      <c r="A27" s="4"/>
      <c r="B27" s="322"/>
      <c r="C27" s="324"/>
      <c r="D27" s="324"/>
      <c r="E27" s="324"/>
      <c r="F27" s="93" t="s">
        <v>45</v>
      </c>
      <c r="G27" s="93" t="s">
        <v>46</v>
      </c>
      <c r="H27" s="4"/>
      <c r="I27" s="323"/>
      <c r="J27" s="324"/>
      <c r="K27" s="325"/>
      <c r="L27" s="325"/>
      <c r="M27" s="20" t="s">
        <v>45</v>
      </c>
      <c r="N27" s="20" t="s">
        <v>46</v>
      </c>
      <c r="O27" s="4"/>
      <c r="P27" s="24" t="s">
        <v>196</v>
      </c>
      <c r="Q27" s="318"/>
      <c r="R27" s="319"/>
      <c r="S27" s="319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</row>
    <row r="28" spans="1:54" x14ac:dyDescent="0.3">
      <c r="A28" s="4"/>
      <c r="B28" s="89" t="s">
        <v>20</v>
      </c>
      <c r="C28" s="324"/>
      <c r="D28" s="324"/>
      <c r="E28" s="324"/>
      <c r="F28" s="179"/>
      <c r="G28" s="170">
        <f>(Summary!Z5)</f>
        <v>0</v>
      </c>
      <c r="H28" s="4"/>
      <c r="I28" s="89" t="s">
        <v>20</v>
      </c>
      <c r="J28" s="325"/>
      <c r="K28" s="325"/>
      <c r="L28" s="325"/>
      <c r="M28" s="187"/>
      <c r="N28" s="170">
        <f>(Summary!Z10)</f>
        <v>0</v>
      </c>
      <c r="O28" s="4"/>
      <c r="P28" s="25" t="s">
        <v>20</v>
      </c>
      <c r="Q28" s="319"/>
      <c r="R28" s="319"/>
      <c r="S28" s="319"/>
      <c r="T28" s="187"/>
      <c r="U28" s="170">
        <f>(Summary!Z15)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</row>
    <row r="29" spans="1:54" x14ac:dyDescent="0.3">
      <c r="A29" s="4"/>
      <c r="B29" s="89" t="s">
        <v>10</v>
      </c>
      <c r="C29" s="279"/>
      <c r="D29" s="279"/>
      <c r="E29" s="279"/>
      <c r="F29" s="97"/>
      <c r="G29" s="128"/>
      <c r="H29" s="4"/>
      <c r="I29" s="89" t="s">
        <v>10</v>
      </c>
      <c r="J29" s="279"/>
      <c r="K29" s="317"/>
      <c r="L29" s="317"/>
      <c r="M29" s="97"/>
      <c r="N29" s="128"/>
      <c r="O29" s="4"/>
      <c r="P29" s="21" t="s">
        <v>10</v>
      </c>
      <c r="Q29" s="279"/>
      <c r="R29" s="317"/>
      <c r="S29" s="317"/>
      <c r="T29" s="97"/>
      <c r="U29" s="12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</row>
    <row r="30" spans="1:54" x14ac:dyDescent="0.3">
      <c r="A30" s="4"/>
      <c r="B30" s="89" t="s">
        <v>42</v>
      </c>
      <c r="C30" s="279"/>
      <c r="D30" s="279"/>
      <c r="E30" s="279"/>
      <c r="F30" s="97"/>
      <c r="G30" s="128"/>
      <c r="H30" s="4"/>
      <c r="I30" s="89" t="s">
        <v>42</v>
      </c>
      <c r="J30" s="279"/>
      <c r="K30" s="317"/>
      <c r="L30" s="317"/>
      <c r="M30" s="97"/>
      <c r="N30" s="128"/>
      <c r="O30" s="4"/>
      <c r="P30" s="21" t="s">
        <v>42</v>
      </c>
      <c r="Q30" s="279"/>
      <c r="R30" s="317"/>
      <c r="S30" s="317"/>
      <c r="T30" s="97"/>
      <c r="U30" s="12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</row>
    <row r="31" spans="1:54" x14ac:dyDescent="0.3">
      <c r="A31" s="4"/>
      <c r="B31" s="89" t="s">
        <v>12</v>
      </c>
      <c r="C31" s="279"/>
      <c r="D31" s="279"/>
      <c r="E31" s="279"/>
      <c r="F31" s="97"/>
      <c r="G31" s="128"/>
      <c r="H31" s="4"/>
      <c r="I31" s="89" t="s">
        <v>12</v>
      </c>
      <c r="J31" s="279"/>
      <c r="K31" s="317"/>
      <c r="L31" s="317"/>
      <c r="M31" s="97"/>
      <c r="N31" s="128"/>
      <c r="O31" s="4"/>
      <c r="P31" s="21" t="s">
        <v>12</v>
      </c>
      <c r="Q31" s="279"/>
      <c r="R31" s="317"/>
      <c r="S31" s="317"/>
      <c r="T31" s="97"/>
      <c r="U31" s="12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</row>
    <row r="32" spans="1:54" x14ac:dyDescent="0.3">
      <c r="A32" s="4"/>
      <c r="B32" s="89" t="s">
        <v>12</v>
      </c>
      <c r="C32" s="279"/>
      <c r="D32" s="279"/>
      <c r="E32" s="279"/>
      <c r="F32" s="97"/>
      <c r="G32" s="128"/>
      <c r="H32" s="4"/>
      <c r="I32" s="89" t="s">
        <v>12</v>
      </c>
      <c r="J32" s="279"/>
      <c r="K32" s="317"/>
      <c r="L32" s="317"/>
      <c r="M32" s="97"/>
      <c r="N32" s="128"/>
      <c r="O32" s="4"/>
      <c r="P32" s="21" t="s">
        <v>12</v>
      </c>
      <c r="Q32" s="279"/>
      <c r="R32" s="317"/>
      <c r="S32" s="317"/>
      <c r="T32" s="97"/>
      <c r="U32" s="12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</row>
    <row r="33" spans="1:54" x14ac:dyDescent="0.3">
      <c r="A33" s="4"/>
      <c r="B33" s="89" t="s">
        <v>43</v>
      </c>
      <c r="C33" s="279"/>
      <c r="D33" s="279"/>
      <c r="E33" s="279"/>
      <c r="F33" s="97"/>
      <c r="G33" s="128"/>
      <c r="H33" s="4"/>
      <c r="I33" s="89" t="s">
        <v>43</v>
      </c>
      <c r="J33" s="279"/>
      <c r="K33" s="317"/>
      <c r="L33" s="317"/>
      <c r="M33" s="97"/>
      <c r="N33" s="128"/>
      <c r="O33" s="4"/>
      <c r="P33" s="21" t="s">
        <v>43</v>
      </c>
      <c r="Q33" s="279"/>
      <c r="R33" s="317"/>
      <c r="S33" s="317"/>
      <c r="T33" s="97"/>
      <c r="U33" s="12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</row>
    <row r="34" spans="1:54" x14ac:dyDescent="0.3">
      <c r="A34" s="4"/>
      <c r="B34" s="89" t="s">
        <v>44</v>
      </c>
      <c r="C34" s="279"/>
      <c r="D34" s="279"/>
      <c r="E34" s="279"/>
      <c r="F34" s="97"/>
      <c r="G34" s="128"/>
      <c r="H34" s="4"/>
      <c r="I34" s="89" t="s">
        <v>44</v>
      </c>
      <c r="J34" s="279"/>
      <c r="K34" s="317"/>
      <c r="L34" s="317"/>
      <c r="M34" s="97"/>
      <c r="N34" s="128"/>
      <c r="O34" s="4"/>
      <c r="P34" s="21" t="s">
        <v>44</v>
      </c>
      <c r="Q34" s="279"/>
      <c r="R34" s="317"/>
      <c r="S34" s="317"/>
      <c r="T34" s="97"/>
      <c r="U34" s="12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</row>
    <row r="35" spans="1:5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</row>
    <row r="36" spans="1:54" ht="12.75" customHeight="1" x14ac:dyDescent="0.3">
      <c r="A36" s="4"/>
      <c r="B36" s="322">
        <v>4</v>
      </c>
      <c r="C36" s="332"/>
      <c r="D36" s="335"/>
      <c r="E36" s="334"/>
      <c r="F36" s="93"/>
      <c r="G36" s="93"/>
      <c r="H36" s="4"/>
      <c r="I36" s="322">
        <v>9</v>
      </c>
      <c r="J36" s="332"/>
      <c r="K36" s="333"/>
      <c r="L36" s="334"/>
      <c r="M36" s="93"/>
      <c r="N36" s="93"/>
      <c r="O36" s="4"/>
      <c r="P36" s="23">
        <v>4</v>
      </c>
      <c r="Q36" s="332"/>
      <c r="R36" s="335"/>
      <c r="S36" s="334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</row>
    <row r="37" spans="1:54" x14ac:dyDescent="0.3">
      <c r="A37" s="4"/>
      <c r="B37" s="322"/>
      <c r="C37" s="324"/>
      <c r="D37" s="324"/>
      <c r="E37" s="324"/>
      <c r="F37" s="93" t="s">
        <v>45</v>
      </c>
      <c r="G37" s="93" t="s">
        <v>46</v>
      </c>
      <c r="H37" s="4"/>
      <c r="I37" s="323"/>
      <c r="J37" s="324"/>
      <c r="K37" s="325"/>
      <c r="L37" s="325"/>
      <c r="M37" s="93" t="s">
        <v>45</v>
      </c>
      <c r="N37" s="93" t="s">
        <v>46</v>
      </c>
      <c r="O37" s="4"/>
      <c r="P37" s="24" t="s">
        <v>196</v>
      </c>
      <c r="Q37" s="318"/>
      <c r="R37" s="319"/>
      <c r="S37" s="319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</row>
    <row r="38" spans="1:54" x14ac:dyDescent="0.3">
      <c r="A38" s="4"/>
      <c r="B38" s="89" t="s">
        <v>20</v>
      </c>
      <c r="C38" s="324"/>
      <c r="D38" s="324"/>
      <c r="E38" s="324"/>
      <c r="F38" s="187"/>
      <c r="G38" s="170">
        <f>(Summary!Z6)</f>
        <v>0</v>
      </c>
      <c r="H38" s="4"/>
      <c r="I38" s="89" t="s">
        <v>20</v>
      </c>
      <c r="J38" s="325"/>
      <c r="K38" s="325"/>
      <c r="L38" s="325"/>
      <c r="M38" s="187"/>
      <c r="N38" s="170">
        <f>(Summary!Z11)</f>
        <v>0</v>
      </c>
      <c r="O38" s="4"/>
      <c r="P38" s="25" t="s">
        <v>20</v>
      </c>
      <c r="Q38" s="319"/>
      <c r="R38" s="319"/>
      <c r="S38" s="319"/>
      <c r="T38" s="187"/>
      <c r="U38" s="170">
        <f>(Summary!Z16)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</row>
    <row r="39" spans="1:54" x14ac:dyDescent="0.3">
      <c r="A39" s="4"/>
      <c r="B39" s="89" t="s">
        <v>10</v>
      </c>
      <c r="C39" s="279"/>
      <c r="D39" s="279"/>
      <c r="E39" s="279"/>
      <c r="F39" s="97"/>
      <c r="G39" s="128"/>
      <c r="H39" s="4"/>
      <c r="I39" s="89" t="s">
        <v>10</v>
      </c>
      <c r="J39" s="279"/>
      <c r="K39" s="317"/>
      <c r="L39" s="317"/>
      <c r="M39" s="97"/>
      <c r="N39" s="128"/>
      <c r="O39" s="4"/>
      <c r="P39" s="21" t="s">
        <v>10</v>
      </c>
      <c r="Q39" s="279"/>
      <c r="R39" s="317"/>
      <c r="S39" s="317"/>
      <c r="T39" s="97"/>
      <c r="U39" s="12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</row>
    <row r="40" spans="1:54" x14ac:dyDescent="0.3">
      <c r="A40" s="4"/>
      <c r="B40" s="89" t="s">
        <v>42</v>
      </c>
      <c r="C40" s="279"/>
      <c r="D40" s="279"/>
      <c r="E40" s="279"/>
      <c r="F40" s="97"/>
      <c r="G40" s="128"/>
      <c r="H40" s="4"/>
      <c r="I40" s="89" t="s">
        <v>42</v>
      </c>
      <c r="J40" s="279"/>
      <c r="K40" s="317"/>
      <c r="L40" s="317"/>
      <c r="M40" s="97"/>
      <c r="N40" s="128"/>
      <c r="O40" s="4"/>
      <c r="P40" s="21" t="s">
        <v>42</v>
      </c>
      <c r="Q40" s="279"/>
      <c r="R40" s="317"/>
      <c r="S40" s="317"/>
      <c r="T40" s="97"/>
      <c r="U40" s="12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</row>
    <row r="41" spans="1:54" x14ac:dyDescent="0.3">
      <c r="A41" s="4"/>
      <c r="B41" s="89" t="s">
        <v>12</v>
      </c>
      <c r="C41" s="279"/>
      <c r="D41" s="279"/>
      <c r="E41" s="279"/>
      <c r="F41" s="97"/>
      <c r="G41" s="128"/>
      <c r="H41" s="4"/>
      <c r="I41" s="89" t="s">
        <v>12</v>
      </c>
      <c r="J41" s="279"/>
      <c r="K41" s="317"/>
      <c r="L41" s="317"/>
      <c r="M41" s="97"/>
      <c r="N41" s="128"/>
      <c r="O41" s="4"/>
      <c r="P41" s="21" t="s">
        <v>12</v>
      </c>
      <c r="Q41" s="279"/>
      <c r="R41" s="317"/>
      <c r="S41" s="317"/>
      <c r="T41" s="97"/>
      <c r="U41" s="12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</row>
    <row r="42" spans="1:54" x14ac:dyDescent="0.3">
      <c r="A42" s="4"/>
      <c r="B42" s="89" t="s">
        <v>12</v>
      </c>
      <c r="C42" s="279"/>
      <c r="D42" s="279"/>
      <c r="E42" s="279"/>
      <c r="F42" s="97"/>
      <c r="G42" s="128"/>
      <c r="H42" s="4"/>
      <c r="I42" s="89" t="s">
        <v>12</v>
      </c>
      <c r="J42" s="279"/>
      <c r="K42" s="317"/>
      <c r="L42" s="317"/>
      <c r="M42" s="97"/>
      <c r="N42" s="128"/>
      <c r="O42" s="4"/>
      <c r="P42" s="21" t="s">
        <v>12</v>
      </c>
      <c r="Q42" s="279"/>
      <c r="R42" s="317"/>
      <c r="S42" s="317"/>
      <c r="T42" s="97"/>
      <c r="U42" s="12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</row>
    <row r="43" spans="1:54" x14ac:dyDescent="0.3">
      <c r="A43" s="4"/>
      <c r="B43" s="89" t="s">
        <v>43</v>
      </c>
      <c r="C43" s="279"/>
      <c r="D43" s="279"/>
      <c r="E43" s="279"/>
      <c r="F43" s="97"/>
      <c r="G43" s="128"/>
      <c r="H43" s="4"/>
      <c r="I43" s="89" t="s">
        <v>43</v>
      </c>
      <c r="J43" s="279"/>
      <c r="K43" s="317"/>
      <c r="L43" s="317"/>
      <c r="M43" s="97"/>
      <c r="N43" s="128"/>
      <c r="O43" s="4"/>
      <c r="P43" s="21" t="s">
        <v>43</v>
      </c>
      <c r="Q43" s="279"/>
      <c r="R43" s="317"/>
      <c r="S43" s="317"/>
      <c r="T43" s="97"/>
      <c r="U43" s="12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</row>
    <row r="44" spans="1:54" x14ac:dyDescent="0.3">
      <c r="A44" s="4"/>
      <c r="B44" s="89" t="s">
        <v>44</v>
      </c>
      <c r="C44" s="279"/>
      <c r="D44" s="279"/>
      <c r="E44" s="279"/>
      <c r="F44" s="97"/>
      <c r="G44" s="128"/>
      <c r="H44" s="4"/>
      <c r="I44" s="89" t="s">
        <v>44</v>
      </c>
      <c r="J44" s="279"/>
      <c r="K44" s="317"/>
      <c r="L44" s="317"/>
      <c r="M44" s="97"/>
      <c r="N44" s="128"/>
      <c r="O44" s="4"/>
      <c r="P44" s="21" t="s">
        <v>44</v>
      </c>
      <c r="Q44" s="279"/>
      <c r="R44" s="317"/>
      <c r="S44" s="317"/>
      <c r="T44" s="97"/>
      <c r="U44" s="12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</row>
    <row r="45" spans="1:54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</row>
    <row r="46" spans="1:54" ht="14.25" customHeight="1" x14ac:dyDescent="0.3">
      <c r="A46" s="4"/>
      <c r="B46" s="322">
        <v>5</v>
      </c>
      <c r="C46" s="332"/>
      <c r="D46" s="333"/>
      <c r="E46" s="334"/>
      <c r="F46" s="93"/>
      <c r="G46" s="93"/>
      <c r="H46" s="4"/>
      <c r="I46" s="322">
        <v>10</v>
      </c>
      <c r="J46" s="332"/>
      <c r="K46" s="335"/>
      <c r="L46" s="334"/>
      <c r="M46" s="93"/>
      <c r="N46" s="93"/>
      <c r="O46" s="4"/>
      <c r="P46" s="26">
        <v>1</v>
      </c>
      <c r="Q46" s="332"/>
      <c r="R46" s="333"/>
      <c r="S46" s="334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</row>
    <row r="47" spans="1:54" x14ac:dyDescent="0.3">
      <c r="A47" s="4"/>
      <c r="B47" s="322"/>
      <c r="C47" s="324"/>
      <c r="D47" s="324"/>
      <c r="E47" s="324"/>
      <c r="F47" s="93" t="s">
        <v>45</v>
      </c>
      <c r="G47" s="93" t="s">
        <v>46</v>
      </c>
      <c r="H47" s="4"/>
      <c r="I47" s="323"/>
      <c r="J47" s="324"/>
      <c r="K47" s="325"/>
      <c r="L47" s="325"/>
      <c r="M47" s="93" t="s">
        <v>45</v>
      </c>
      <c r="N47" s="93" t="s">
        <v>46</v>
      </c>
      <c r="O47" s="4"/>
      <c r="P47" s="27" t="s">
        <v>197</v>
      </c>
      <c r="Q47" s="330"/>
      <c r="R47" s="331"/>
      <c r="S47" s="331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</row>
    <row r="48" spans="1:54" x14ac:dyDescent="0.3">
      <c r="A48" s="4"/>
      <c r="B48" s="89" t="s">
        <v>20</v>
      </c>
      <c r="C48" s="324"/>
      <c r="D48" s="324"/>
      <c r="E48" s="324"/>
      <c r="F48" s="187"/>
      <c r="G48" s="170">
        <f>(Summary!Z7)</f>
        <v>0</v>
      </c>
      <c r="H48" s="4"/>
      <c r="I48" s="89" t="s">
        <v>20</v>
      </c>
      <c r="J48" s="325"/>
      <c r="K48" s="325"/>
      <c r="L48" s="325"/>
      <c r="M48" s="187"/>
      <c r="N48" s="170">
        <f>(Summary!Z12)</f>
        <v>0</v>
      </c>
      <c r="O48" s="4"/>
      <c r="P48" s="28"/>
      <c r="Q48" s="331"/>
      <c r="R48" s="331"/>
      <c r="S48" s="331"/>
      <c r="T48" s="187"/>
      <c r="U48" s="170">
        <f>(Summary!Z17)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</row>
    <row r="49" spans="1:54" x14ac:dyDescent="0.3">
      <c r="A49" s="4"/>
      <c r="B49" s="89" t="s">
        <v>10</v>
      </c>
      <c r="C49" s="279"/>
      <c r="D49" s="279"/>
      <c r="E49" s="279"/>
      <c r="F49" s="97"/>
      <c r="G49" s="128"/>
      <c r="H49" s="4"/>
      <c r="I49" s="89" t="s">
        <v>10</v>
      </c>
      <c r="J49" s="279"/>
      <c r="K49" s="317"/>
      <c r="L49" s="317"/>
      <c r="M49" s="97"/>
      <c r="N49" s="128"/>
      <c r="O49" s="4"/>
      <c r="P49" s="94" t="s">
        <v>10</v>
      </c>
      <c r="Q49" s="279"/>
      <c r="R49" s="317"/>
      <c r="S49" s="317"/>
      <c r="T49" s="97"/>
      <c r="U49" s="12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</row>
    <row r="50" spans="1:54" x14ac:dyDescent="0.3">
      <c r="A50" s="4"/>
      <c r="B50" s="89" t="s">
        <v>42</v>
      </c>
      <c r="C50" s="279"/>
      <c r="D50" s="279"/>
      <c r="E50" s="279"/>
      <c r="F50" s="97"/>
      <c r="G50" s="128"/>
      <c r="H50" s="4"/>
      <c r="I50" s="89" t="s">
        <v>42</v>
      </c>
      <c r="J50" s="279"/>
      <c r="K50" s="317"/>
      <c r="L50" s="317"/>
      <c r="M50" s="97"/>
      <c r="N50" s="128"/>
      <c r="O50" s="4"/>
      <c r="P50" s="94" t="s">
        <v>42</v>
      </c>
      <c r="Q50" s="279"/>
      <c r="R50" s="317"/>
      <c r="S50" s="317"/>
      <c r="T50" s="97"/>
      <c r="U50" s="12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</row>
    <row r="51" spans="1:54" x14ac:dyDescent="0.3">
      <c r="A51" s="4"/>
      <c r="B51" s="89" t="s">
        <v>12</v>
      </c>
      <c r="C51" s="279"/>
      <c r="D51" s="279"/>
      <c r="E51" s="279"/>
      <c r="F51" s="97"/>
      <c r="G51" s="128"/>
      <c r="H51" s="4"/>
      <c r="I51" s="89" t="s">
        <v>12</v>
      </c>
      <c r="J51" s="279"/>
      <c r="K51" s="317"/>
      <c r="L51" s="317"/>
      <c r="M51" s="97"/>
      <c r="N51" s="128"/>
      <c r="O51" s="4"/>
      <c r="P51" s="94" t="s">
        <v>12</v>
      </c>
      <c r="Q51" s="279"/>
      <c r="R51" s="317"/>
      <c r="S51" s="317"/>
      <c r="T51" s="97"/>
      <c r="U51" s="12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</row>
    <row r="52" spans="1:54" x14ac:dyDescent="0.3">
      <c r="A52" s="4"/>
      <c r="B52" s="89" t="s">
        <v>12</v>
      </c>
      <c r="C52" s="279"/>
      <c r="D52" s="279"/>
      <c r="E52" s="279"/>
      <c r="F52" s="97"/>
      <c r="G52" s="128"/>
      <c r="H52" s="4"/>
      <c r="I52" s="89" t="s">
        <v>12</v>
      </c>
      <c r="J52" s="279"/>
      <c r="K52" s="317"/>
      <c r="L52" s="317"/>
      <c r="M52" s="97"/>
      <c r="N52" s="128"/>
      <c r="O52" s="4"/>
      <c r="P52" s="94" t="s">
        <v>12</v>
      </c>
      <c r="Q52" s="279"/>
      <c r="R52" s="317"/>
      <c r="S52" s="317"/>
      <c r="T52" s="97"/>
      <c r="U52" s="12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</row>
    <row r="53" spans="1:54" x14ac:dyDescent="0.3">
      <c r="A53" s="4"/>
      <c r="B53" s="89" t="s">
        <v>43</v>
      </c>
      <c r="C53" s="279"/>
      <c r="D53" s="279"/>
      <c r="E53" s="279"/>
      <c r="F53" s="97"/>
      <c r="G53" s="128"/>
      <c r="H53" s="4"/>
      <c r="I53" s="89" t="s">
        <v>43</v>
      </c>
      <c r="J53" s="279"/>
      <c r="K53" s="317"/>
      <c r="L53" s="317"/>
      <c r="M53" s="97"/>
      <c r="N53" s="128"/>
      <c r="O53" s="4"/>
      <c r="P53" s="94" t="s">
        <v>43</v>
      </c>
      <c r="Q53" s="279"/>
      <c r="R53" s="317"/>
      <c r="S53" s="317"/>
      <c r="T53" s="97"/>
      <c r="U53" s="12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</row>
    <row r="54" spans="1:54" x14ac:dyDescent="0.3">
      <c r="A54" s="4"/>
      <c r="B54" s="89" t="s">
        <v>44</v>
      </c>
      <c r="C54" s="279"/>
      <c r="D54" s="279"/>
      <c r="E54" s="279"/>
      <c r="F54" s="97"/>
      <c r="G54" s="128"/>
      <c r="H54" s="4"/>
      <c r="I54" s="89" t="s">
        <v>44</v>
      </c>
      <c r="J54" s="279"/>
      <c r="K54" s="317"/>
      <c r="L54" s="317"/>
      <c r="M54" s="97"/>
      <c r="N54" s="128"/>
      <c r="O54" s="4"/>
      <c r="P54" s="94" t="s">
        <v>44</v>
      </c>
      <c r="Q54" s="279"/>
      <c r="R54" s="317"/>
      <c r="S54" s="317"/>
      <c r="T54" s="97"/>
      <c r="U54" s="12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</row>
    <row r="55" spans="1:54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</row>
    <row r="56" spans="1:54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</row>
    <row r="57" spans="1:54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</row>
    <row r="58" spans="1:54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</row>
    <row r="59" spans="1:54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</row>
    <row r="60" spans="1:54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</row>
    <row r="61" spans="1:54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</row>
    <row r="62" spans="1:54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</row>
    <row r="63" spans="1:54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</row>
    <row r="64" spans="1:54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</row>
    <row r="65" spans="1:54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</row>
    <row r="66" spans="1:54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</row>
    <row r="67" spans="1:54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</row>
    <row r="68" spans="1:54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</row>
    <row r="69" spans="1:54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</row>
    <row r="70" spans="1:54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</row>
    <row r="71" spans="1:54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</row>
    <row r="72" spans="1:54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</row>
    <row r="73" spans="1:54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</row>
    <row r="74" spans="1:54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</row>
    <row r="75" spans="1:54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</row>
    <row r="76" spans="1:54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</row>
    <row r="77" spans="1:54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</row>
    <row r="78" spans="1:54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</row>
    <row r="79" spans="1:54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</row>
    <row r="80" spans="1:54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</row>
    <row r="81" spans="1:54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</row>
    <row r="82" spans="1:54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</row>
    <row r="83" spans="1:54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</row>
    <row r="84" spans="1:54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</row>
    <row r="85" spans="1:54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</row>
    <row r="86" spans="1:54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</row>
    <row r="87" spans="1:54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</row>
    <row r="88" spans="1:54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</row>
    <row r="89" spans="1:54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</row>
    <row r="90" spans="1:54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</row>
    <row r="92" spans="1:54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</row>
    <row r="93" spans="1:54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</row>
    <row r="94" spans="1:54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</row>
    <row r="95" spans="1:54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</row>
    <row r="96" spans="1:54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</row>
    <row r="97" spans="1:54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</row>
    <row r="98" spans="1:54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</row>
    <row r="99" spans="1:54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</row>
    <row r="100" spans="1:54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</row>
    <row r="101" spans="1:54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</row>
    <row r="102" spans="1:54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</row>
    <row r="103" spans="1:54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</row>
    <row r="104" spans="1:54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</row>
    <row r="105" spans="1:54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</row>
    <row r="106" spans="1:54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</row>
    <row r="107" spans="1:54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</row>
    <row r="108" spans="1:54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</row>
    <row r="109" spans="1:54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</row>
    <row r="110" spans="1:54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</row>
    <row r="111" spans="1:54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</row>
    <row r="112" spans="1:54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</row>
    <row r="113" spans="1:54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</row>
    <row r="114" spans="1:54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</row>
    <row r="115" spans="1:54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</row>
    <row r="116" spans="1:54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</row>
    <row r="117" spans="1:54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</row>
    <row r="118" spans="1:54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</row>
    <row r="119" spans="1:54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</row>
    <row r="120" spans="1:54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</row>
    <row r="121" spans="1:54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</row>
    <row r="122" spans="1:54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</row>
    <row r="123" spans="1:54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</row>
    <row r="124" spans="1:54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</row>
    <row r="125" spans="1:54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54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54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</row>
    <row r="128" spans="1:54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</row>
    <row r="129" spans="1:54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</row>
    <row r="130" spans="1:54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</row>
    <row r="131" spans="1:54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</row>
    <row r="132" spans="1:54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</row>
    <row r="133" spans="1:54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</row>
    <row r="134" spans="1:54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</row>
  </sheetData>
  <sheetProtection password="EADB" sheet="1" objects="1" scenarios="1" selectLockedCells="1"/>
  <mergeCells count="131">
    <mergeCell ref="I2:N4"/>
    <mergeCell ref="C9:E9"/>
    <mergeCell ref="J9:L9"/>
    <mergeCell ref="Q9:S9"/>
    <mergeCell ref="C10:E10"/>
    <mergeCell ref="J10:L10"/>
    <mergeCell ref="Q10:S10"/>
    <mergeCell ref="B6:B7"/>
    <mergeCell ref="I6:I7"/>
    <mergeCell ref="C7:E8"/>
    <mergeCell ref="J7:L8"/>
    <mergeCell ref="Q7:S8"/>
    <mergeCell ref="C6:E6"/>
    <mergeCell ref="J6:L6"/>
    <mergeCell ref="Q6:S6"/>
    <mergeCell ref="C13:E13"/>
    <mergeCell ref="J13:L13"/>
    <mergeCell ref="Q13:S13"/>
    <mergeCell ref="C14:E14"/>
    <mergeCell ref="J14:L14"/>
    <mergeCell ref="Q14:S14"/>
    <mergeCell ref="C11:E11"/>
    <mergeCell ref="J11:L11"/>
    <mergeCell ref="Q11:S11"/>
    <mergeCell ref="C12:E12"/>
    <mergeCell ref="J12:L12"/>
    <mergeCell ref="Q12:S12"/>
    <mergeCell ref="C19:E19"/>
    <mergeCell ref="J19:L19"/>
    <mergeCell ref="Q19:S19"/>
    <mergeCell ref="C20:E20"/>
    <mergeCell ref="J20:L20"/>
    <mergeCell ref="Q20:S20"/>
    <mergeCell ref="B16:B17"/>
    <mergeCell ref="I16:I17"/>
    <mergeCell ref="C17:E18"/>
    <mergeCell ref="J17:L18"/>
    <mergeCell ref="Q17:S18"/>
    <mergeCell ref="Q16:S16"/>
    <mergeCell ref="J16:L16"/>
    <mergeCell ref="C16:E16"/>
    <mergeCell ref="C23:E23"/>
    <mergeCell ref="J23:L23"/>
    <mergeCell ref="Q23:S23"/>
    <mergeCell ref="C24:E24"/>
    <mergeCell ref="J24:L24"/>
    <mergeCell ref="Q24:S24"/>
    <mergeCell ref="C21:E21"/>
    <mergeCell ref="J21:L21"/>
    <mergeCell ref="Q21:S21"/>
    <mergeCell ref="C22:E22"/>
    <mergeCell ref="J22:L22"/>
    <mergeCell ref="Q22:S22"/>
    <mergeCell ref="C29:E29"/>
    <mergeCell ref="J29:L29"/>
    <mergeCell ref="Q29:S29"/>
    <mergeCell ref="C30:E30"/>
    <mergeCell ref="J30:L30"/>
    <mergeCell ref="Q30:S30"/>
    <mergeCell ref="B26:B27"/>
    <mergeCell ref="I26:I27"/>
    <mergeCell ref="C27:E28"/>
    <mergeCell ref="J27:L28"/>
    <mergeCell ref="Q27:S28"/>
    <mergeCell ref="C26:E26"/>
    <mergeCell ref="J26:L26"/>
    <mergeCell ref="Q26:S26"/>
    <mergeCell ref="C33:E33"/>
    <mergeCell ref="J33:L33"/>
    <mergeCell ref="Q33:S33"/>
    <mergeCell ref="C34:E34"/>
    <mergeCell ref="J34:L34"/>
    <mergeCell ref="Q34:S34"/>
    <mergeCell ref="C31:E31"/>
    <mergeCell ref="J31:L31"/>
    <mergeCell ref="Q31:S31"/>
    <mergeCell ref="C32:E32"/>
    <mergeCell ref="J32:L32"/>
    <mergeCell ref="Q32:S32"/>
    <mergeCell ref="C39:E39"/>
    <mergeCell ref="J39:L39"/>
    <mergeCell ref="Q39:S39"/>
    <mergeCell ref="C40:E40"/>
    <mergeCell ref="J40:L40"/>
    <mergeCell ref="Q40:S40"/>
    <mergeCell ref="B36:B37"/>
    <mergeCell ref="I36:I37"/>
    <mergeCell ref="C37:E38"/>
    <mergeCell ref="J37:L38"/>
    <mergeCell ref="Q37:S38"/>
    <mergeCell ref="Q36:S36"/>
    <mergeCell ref="J36:L36"/>
    <mergeCell ref="C36:E36"/>
    <mergeCell ref="C43:E43"/>
    <mergeCell ref="J43:L43"/>
    <mergeCell ref="Q43:S43"/>
    <mergeCell ref="C44:E44"/>
    <mergeCell ref="J44:L44"/>
    <mergeCell ref="Q44:S44"/>
    <mergeCell ref="C41:E41"/>
    <mergeCell ref="J41:L41"/>
    <mergeCell ref="Q41:S41"/>
    <mergeCell ref="C42:E42"/>
    <mergeCell ref="J42:L42"/>
    <mergeCell ref="Q42:S42"/>
    <mergeCell ref="C49:E49"/>
    <mergeCell ref="J49:L49"/>
    <mergeCell ref="Q49:S49"/>
    <mergeCell ref="C50:E50"/>
    <mergeCell ref="J50:L50"/>
    <mergeCell ref="Q50:S50"/>
    <mergeCell ref="B46:B47"/>
    <mergeCell ref="I46:I47"/>
    <mergeCell ref="C47:E48"/>
    <mergeCell ref="J47:L48"/>
    <mergeCell ref="Q47:S48"/>
    <mergeCell ref="C46:E46"/>
    <mergeCell ref="J46:L46"/>
    <mergeCell ref="Q46:S46"/>
    <mergeCell ref="C53:E53"/>
    <mergeCell ref="J53:L53"/>
    <mergeCell ref="Q53:S53"/>
    <mergeCell ref="C54:E54"/>
    <mergeCell ref="J54:L54"/>
    <mergeCell ref="Q54:S54"/>
    <mergeCell ref="C51:E51"/>
    <mergeCell ref="J51:L51"/>
    <mergeCell ref="Q51:S51"/>
    <mergeCell ref="C52:E52"/>
    <mergeCell ref="J52:L52"/>
    <mergeCell ref="Q52:S52"/>
  </mergeCells>
  <dataValidations count="1">
    <dataValidation type="list" allowBlank="1" showInputMessage="1" sqref="J46:K46 C6:D6 J6:K6 Q6:R6 Q16:R16 J16:K16 C16:D16 C26:D26 J26:K26 Q26:R26 Q36:R36 J36:K36 C36:D36 C46:D46 Q46:R46">
      <formula1>SECTORS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B2:Y54"/>
  <sheetViews>
    <sheetView showRowColHeaders="0" zoomScaleNormal="100" workbookViewId="0">
      <selection activeCell="B10" sqref="B10:C10"/>
    </sheetView>
  </sheetViews>
  <sheetFormatPr defaultColWidth="9.109375" defaultRowHeight="14.4" x14ac:dyDescent="0.3"/>
  <cols>
    <col min="1" max="3" width="9.109375" style="5"/>
    <col min="4" max="4" width="16.5546875" style="5" customWidth="1"/>
    <col min="5" max="5" width="8.44140625" style="5" customWidth="1"/>
    <col min="6" max="8" width="9.109375" style="5"/>
    <col min="9" max="9" width="25.88671875" style="5" customWidth="1"/>
    <col min="10" max="10" width="4.109375" style="5" customWidth="1"/>
    <col min="11" max="12" width="9.109375" style="5"/>
    <col min="13" max="13" width="15.44140625" style="5" customWidth="1"/>
    <col min="14" max="17" width="9.109375" style="5"/>
    <col min="18" max="18" width="23.5546875" style="5" customWidth="1"/>
    <col min="19" max="16384" width="9.109375" style="5"/>
  </cols>
  <sheetData>
    <row r="2" spans="2:25" x14ac:dyDescent="0.3">
      <c r="B2" s="266"/>
      <c r="C2" s="344"/>
      <c r="D2" s="344"/>
      <c r="E2" s="344"/>
      <c r="F2" s="344"/>
      <c r="G2" s="344"/>
    </row>
    <row r="3" spans="2:25" x14ac:dyDescent="0.3">
      <c r="B3" s="344"/>
      <c r="C3" s="344"/>
      <c r="D3" s="344"/>
      <c r="E3" s="344"/>
      <c r="F3" s="344"/>
      <c r="G3" s="344"/>
    </row>
    <row r="4" spans="2:25" x14ac:dyDescent="0.3">
      <c r="B4" s="344"/>
      <c r="C4" s="344"/>
      <c r="D4" s="344"/>
      <c r="E4" s="344"/>
      <c r="F4" s="344"/>
      <c r="G4" s="344"/>
    </row>
    <row r="5" spans="2:25" x14ac:dyDescent="0.3">
      <c r="B5" s="344"/>
      <c r="C5" s="344"/>
      <c r="D5" s="344"/>
      <c r="E5" s="344"/>
      <c r="F5" s="344"/>
      <c r="G5" s="344"/>
      <c r="M5" s="340" t="s">
        <v>215</v>
      </c>
      <c r="N5" s="340"/>
      <c r="O5" s="340"/>
      <c r="P5" s="340"/>
    </row>
    <row r="6" spans="2:25" x14ac:dyDescent="0.3">
      <c r="B6" s="344"/>
      <c r="C6" s="344"/>
      <c r="D6" s="344"/>
      <c r="E6" s="344"/>
      <c r="F6" s="344"/>
      <c r="G6" s="344"/>
      <c r="M6" s="340"/>
      <c r="N6" s="340"/>
      <c r="O6" s="340"/>
      <c r="P6" s="340"/>
    </row>
    <row r="7" spans="2:25" x14ac:dyDescent="0.3">
      <c r="V7" s="342"/>
      <c r="W7" s="342"/>
      <c r="X7" s="342"/>
      <c r="Y7" s="342"/>
    </row>
    <row r="8" spans="2:25" x14ac:dyDescent="0.3">
      <c r="V8" s="342"/>
      <c r="W8" s="342"/>
      <c r="X8" s="342"/>
      <c r="Y8" s="342"/>
    </row>
    <row r="9" spans="2:25" ht="15" thickBot="1" x14ac:dyDescent="0.35">
      <c r="B9" s="341" t="s">
        <v>200</v>
      </c>
      <c r="C9" s="341"/>
      <c r="D9" s="19" t="s">
        <v>203</v>
      </c>
      <c r="E9" s="341" t="s">
        <v>201</v>
      </c>
      <c r="F9" s="341"/>
      <c r="G9" s="19" t="s">
        <v>22</v>
      </c>
      <c r="H9" s="19" t="s">
        <v>23</v>
      </c>
      <c r="I9" s="19" t="s">
        <v>202</v>
      </c>
      <c r="K9" s="341" t="s">
        <v>200</v>
      </c>
      <c r="L9" s="341"/>
      <c r="M9" s="19" t="s">
        <v>203</v>
      </c>
      <c r="N9" s="341" t="s">
        <v>201</v>
      </c>
      <c r="O9" s="341"/>
      <c r="P9" s="19" t="s">
        <v>22</v>
      </c>
      <c r="Q9" s="19" t="s">
        <v>23</v>
      </c>
      <c r="R9" s="19" t="s">
        <v>202</v>
      </c>
    </row>
    <row r="10" spans="2:25" ht="15" thickBot="1" x14ac:dyDescent="0.35">
      <c r="B10" s="338"/>
      <c r="C10" s="339"/>
      <c r="D10" s="158" t="str">
        <f>IFERROR(VLOOKUP(B10,D31:F54,3,FALSE),"")</f>
        <v/>
      </c>
      <c r="E10" s="339"/>
      <c r="F10" s="339"/>
      <c r="G10" s="159"/>
      <c r="H10" s="160"/>
      <c r="I10" s="161"/>
      <c r="K10" s="338"/>
      <c r="L10" s="339"/>
      <c r="M10" s="158"/>
      <c r="N10" s="339"/>
      <c r="O10" s="339"/>
      <c r="P10" s="159"/>
      <c r="Q10" s="160"/>
      <c r="R10" s="161"/>
    </row>
    <row r="11" spans="2:25" ht="15" thickBot="1" x14ac:dyDescent="0.35">
      <c r="B11" s="338"/>
      <c r="C11" s="339"/>
      <c r="D11" s="249" t="str">
        <f>IFERROR(VLOOKUP(B11,D32:F55,3,FALSE),"")</f>
        <v/>
      </c>
      <c r="E11" s="339"/>
      <c r="F11" s="339"/>
      <c r="G11" s="162"/>
      <c r="H11" s="163"/>
      <c r="I11" s="161"/>
      <c r="K11" s="338"/>
      <c r="L11" s="339"/>
      <c r="M11" s="158"/>
      <c r="N11" s="339"/>
      <c r="O11" s="339"/>
      <c r="P11" s="162"/>
      <c r="Q11" s="163"/>
      <c r="R11" s="161"/>
    </row>
    <row r="12" spans="2:25" ht="15" thickBot="1" x14ac:dyDescent="0.35">
      <c r="B12" s="338"/>
      <c r="C12" s="339"/>
      <c r="D12" s="249" t="str">
        <f>IFERROR(VLOOKUP(B12,D33:F56,3,FALSE),"")</f>
        <v/>
      </c>
      <c r="E12" s="339"/>
      <c r="F12" s="339"/>
      <c r="G12" s="162"/>
      <c r="H12" s="163"/>
      <c r="I12" s="161"/>
      <c r="K12" s="338"/>
      <c r="L12" s="339"/>
      <c r="M12" s="158"/>
      <c r="N12" s="339"/>
      <c r="O12" s="339"/>
      <c r="P12" s="162"/>
      <c r="Q12" s="163"/>
      <c r="R12" s="161"/>
    </row>
    <row r="13" spans="2:25" ht="15" thickBot="1" x14ac:dyDescent="0.35">
      <c r="B13" s="338"/>
      <c r="C13" s="339"/>
      <c r="D13" s="249" t="str">
        <f t="shared" ref="D13:D25" si="0">IFERROR(VLOOKUP(B13,D34:F57,3,FALSE),"")</f>
        <v/>
      </c>
      <c r="E13" s="339"/>
      <c r="F13" s="339"/>
      <c r="G13" s="162"/>
      <c r="H13" s="163"/>
      <c r="I13" s="161"/>
      <c r="K13" s="338"/>
      <c r="L13" s="339"/>
      <c r="M13" s="158"/>
      <c r="N13" s="339"/>
      <c r="O13" s="339"/>
      <c r="P13" s="162"/>
      <c r="Q13" s="163"/>
      <c r="R13" s="161"/>
    </row>
    <row r="14" spans="2:25" ht="15" thickBot="1" x14ac:dyDescent="0.35">
      <c r="B14" s="338"/>
      <c r="C14" s="339"/>
      <c r="D14" s="249" t="str">
        <f t="shared" si="0"/>
        <v/>
      </c>
      <c r="E14" s="339"/>
      <c r="F14" s="339"/>
      <c r="G14" s="162"/>
      <c r="H14" s="163"/>
      <c r="I14" s="161"/>
      <c r="K14" s="338"/>
      <c r="L14" s="339"/>
      <c r="M14" s="158"/>
      <c r="N14" s="339"/>
      <c r="O14" s="339"/>
      <c r="P14" s="162"/>
      <c r="Q14" s="163"/>
      <c r="R14" s="161"/>
    </row>
    <row r="15" spans="2:25" ht="15" thickBot="1" x14ac:dyDescent="0.35">
      <c r="B15" s="338"/>
      <c r="C15" s="339"/>
      <c r="D15" s="249" t="str">
        <f t="shared" si="0"/>
        <v/>
      </c>
      <c r="E15" s="339"/>
      <c r="F15" s="339"/>
      <c r="G15" s="162"/>
      <c r="H15" s="163"/>
      <c r="I15" s="161"/>
      <c r="K15" s="338"/>
      <c r="L15" s="339"/>
      <c r="M15" s="158"/>
      <c r="N15" s="339"/>
      <c r="O15" s="339"/>
      <c r="P15" s="162"/>
      <c r="Q15" s="163"/>
      <c r="R15" s="161"/>
    </row>
    <row r="16" spans="2:25" ht="15" thickBot="1" x14ac:dyDescent="0.35">
      <c r="B16" s="338"/>
      <c r="C16" s="339"/>
      <c r="D16" s="249" t="str">
        <f t="shared" si="0"/>
        <v/>
      </c>
      <c r="E16" s="339"/>
      <c r="F16" s="339"/>
      <c r="G16" s="162"/>
      <c r="H16" s="163"/>
      <c r="I16" s="161"/>
      <c r="K16" s="338"/>
      <c r="L16" s="339"/>
      <c r="M16" s="158"/>
      <c r="N16" s="339"/>
      <c r="O16" s="339"/>
      <c r="P16" s="162"/>
      <c r="Q16" s="163"/>
      <c r="R16" s="161"/>
    </row>
    <row r="17" spans="2:18" ht="15" thickBot="1" x14ac:dyDescent="0.35">
      <c r="B17" s="338"/>
      <c r="C17" s="339"/>
      <c r="D17" s="249" t="str">
        <f t="shared" si="0"/>
        <v/>
      </c>
      <c r="E17" s="339"/>
      <c r="F17" s="339"/>
      <c r="G17" s="162"/>
      <c r="H17" s="163"/>
      <c r="I17" s="161"/>
      <c r="K17" s="338"/>
      <c r="L17" s="339"/>
      <c r="M17" s="158"/>
      <c r="N17" s="339"/>
      <c r="O17" s="339"/>
      <c r="P17" s="162"/>
      <c r="Q17" s="163"/>
      <c r="R17" s="161"/>
    </row>
    <row r="18" spans="2:18" ht="15" thickBot="1" x14ac:dyDescent="0.35">
      <c r="B18" s="338"/>
      <c r="C18" s="339"/>
      <c r="D18" s="249" t="str">
        <f t="shared" si="0"/>
        <v/>
      </c>
      <c r="E18" s="339"/>
      <c r="F18" s="339"/>
      <c r="G18" s="162"/>
      <c r="H18" s="163"/>
      <c r="I18" s="161"/>
      <c r="K18" s="338"/>
      <c r="L18" s="339"/>
      <c r="M18" s="158"/>
      <c r="N18" s="339"/>
      <c r="O18" s="339"/>
      <c r="P18" s="162"/>
      <c r="Q18" s="163"/>
      <c r="R18" s="161"/>
    </row>
    <row r="19" spans="2:18" ht="15" thickBot="1" x14ac:dyDescent="0.35">
      <c r="B19" s="338"/>
      <c r="C19" s="339"/>
      <c r="D19" s="249" t="str">
        <f t="shared" si="0"/>
        <v/>
      </c>
      <c r="E19" s="339"/>
      <c r="F19" s="339"/>
      <c r="G19" s="162"/>
      <c r="H19" s="163"/>
      <c r="I19" s="161"/>
      <c r="K19" s="338"/>
      <c r="L19" s="339"/>
      <c r="M19" s="158"/>
      <c r="N19" s="339"/>
      <c r="O19" s="339"/>
      <c r="P19" s="162"/>
      <c r="Q19" s="163"/>
      <c r="R19" s="161"/>
    </row>
    <row r="20" spans="2:18" ht="15" thickBot="1" x14ac:dyDescent="0.35">
      <c r="B20" s="338"/>
      <c r="C20" s="339"/>
      <c r="D20" s="249" t="str">
        <f t="shared" si="0"/>
        <v/>
      </c>
      <c r="E20" s="339"/>
      <c r="F20" s="339"/>
      <c r="G20" s="162"/>
      <c r="H20" s="163"/>
      <c r="I20" s="161"/>
      <c r="K20" s="338"/>
      <c r="L20" s="339"/>
      <c r="M20" s="158"/>
      <c r="N20" s="339"/>
      <c r="O20" s="339"/>
      <c r="P20" s="162"/>
      <c r="Q20" s="163"/>
      <c r="R20" s="161"/>
    </row>
    <row r="21" spans="2:18" ht="15" thickBot="1" x14ac:dyDescent="0.35">
      <c r="B21" s="338"/>
      <c r="C21" s="339"/>
      <c r="D21" s="249" t="str">
        <f t="shared" si="0"/>
        <v/>
      </c>
      <c r="E21" s="339"/>
      <c r="F21" s="339"/>
      <c r="G21" s="162"/>
      <c r="H21" s="163"/>
      <c r="I21" s="161"/>
      <c r="K21" s="338"/>
      <c r="L21" s="339"/>
      <c r="M21" s="158"/>
      <c r="N21" s="339"/>
      <c r="O21" s="339"/>
      <c r="P21" s="162"/>
      <c r="Q21" s="163"/>
      <c r="R21" s="161"/>
    </row>
    <row r="22" spans="2:18" ht="15" thickBot="1" x14ac:dyDescent="0.35">
      <c r="B22" s="338"/>
      <c r="C22" s="339"/>
      <c r="D22" s="249" t="str">
        <f t="shared" si="0"/>
        <v/>
      </c>
      <c r="E22" s="339"/>
      <c r="F22" s="339"/>
      <c r="G22" s="162"/>
      <c r="H22" s="163"/>
      <c r="I22" s="161"/>
      <c r="K22" s="338"/>
      <c r="L22" s="339"/>
      <c r="M22" s="158"/>
      <c r="N22" s="339"/>
      <c r="O22" s="339"/>
      <c r="P22" s="162"/>
      <c r="Q22" s="163"/>
      <c r="R22" s="161"/>
    </row>
    <row r="23" spans="2:18" ht="15" thickBot="1" x14ac:dyDescent="0.35">
      <c r="B23" s="338"/>
      <c r="C23" s="339"/>
      <c r="D23" s="249" t="str">
        <f t="shared" si="0"/>
        <v/>
      </c>
      <c r="E23" s="339"/>
      <c r="F23" s="339"/>
      <c r="G23" s="162"/>
      <c r="H23" s="163"/>
      <c r="I23" s="161"/>
      <c r="K23" s="338"/>
      <c r="L23" s="339"/>
      <c r="M23" s="158"/>
      <c r="N23" s="339"/>
      <c r="O23" s="339"/>
      <c r="P23" s="162"/>
      <c r="Q23" s="163"/>
      <c r="R23" s="161"/>
    </row>
    <row r="24" spans="2:18" ht="15" thickBot="1" x14ac:dyDescent="0.35">
      <c r="B24" s="338"/>
      <c r="C24" s="339"/>
      <c r="D24" s="249" t="str">
        <f t="shared" si="0"/>
        <v/>
      </c>
      <c r="E24" s="339"/>
      <c r="F24" s="339"/>
      <c r="G24" s="162"/>
      <c r="H24" s="163"/>
      <c r="I24" s="161"/>
      <c r="K24" s="338"/>
      <c r="L24" s="339"/>
      <c r="M24" s="158"/>
      <c r="N24" s="339"/>
      <c r="O24" s="339"/>
      <c r="P24" s="162"/>
      <c r="Q24" s="163"/>
      <c r="R24" s="161"/>
    </row>
    <row r="25" spans="2:18" ht="15" thickBot="1" x14ac:dyDescent="0.35">
      <c r="B25" s="338"/>
      <c r="C25" s="339"/>
      <c r="D25" s="249" t="str">
        <f t="shared" si="0"/>
        <v/>
      </c>
      <c r="E25" s="339"/>
      <c r="F25" s="339"/>
      <c r="G25" s="159"/>
      <c r="H25" s="160"/>
      <c r="I25" s="161"/>
      <c r="K25" s="338"/>
      <c r="L25" s="339"/>
      <c r="M25" s="158"/>
      <c r="N25" s="339"/>
      <c r="O25" s="339"/>
      <c r="P25" s="159"/>
      <c r="Q25" s="160"/>
      <c r="R25" s="161"/>
    </row>
    <row r="29" spans="2:18" x14ac:dyDescent="0.3">
      <c r="D29" s="343" t="s">
        <v>1242</v>
      </c>
      <c r="E29" s="343"/>
      <c r="F29" s="343"/>
    </row>
    <row r="31" spans="2:18" x14ac:dyDescent="0.3">
      <c r="B31" s="244"/>
      <c r="C31" s="244"/>
      <c r="D31" s="4" t="s">
        <v>1203</v>
      </c>
      <c r="F31" s="243" t="s">
        <v>1245</v>
      </c>
    </row>
    <row r="32" spans="2:18" x14ac:dyDescent="0.3">
      <c r="B32" s="244"/>
      <c r="C32" s="244"/>
      <c r="D32" s="4" t="s">
        <v>1204</v>
      </c>
      <c r="F32" s="243" t="s">
        <v>1226</v>
      </c>
    </row>
    <row r="33" spans="2:17" x14ac:dyDescent="0.3">
      <c r="B33" s="244"/>
      <c r="C33" s="244"/>
      <c r="D33" s="4" t="s">
        <v>1205</v>
      </c>
      <c r="F33" s="243" t="s">
        <v>1227</v>
      </c>
    </row>
    <row r="34" spans="2:17" x14ac:dyDescent="0.3">
      <c r="B34" s="244"/>
      <c r="C34" s="244"/>
      <c r="D34" s="4" t="s">
        <v>1206</v>
      </c>
      <c r="F34" s="243" t="s">
        <v>1228</v>
      </c>
      <c r="Q34" s="96"/>
    </row>
    <row r="35" spans="2:17" x14ac:dyDescent="0.3">
      <c r="B35" s="244"/>
      <c r="C35" s="244"/>
      <c r="D35" s="4" t="s">
        <v>1207</v>
      </c>
      <c r="F35" s="243" t="s">
        <v>1229</v>
      </c>
    </row>
    <row r="36" spans="2:17" x14ac:dyDescent="0.3">
      <c r="B36" s="244"/>
      <c r="C36" s="244"/>
      <c r="D36" s="4" t="s">
        <v>1208</v>
      </c>
      <c r="F36" s="243" t="s">
        <v>1230</v>
      </c>
    </row>
    <row r="37" spans="2:17" x14ac:dyDescent="0.3">
      <c r="B37" s="244"/>
      <c r="C37" s="244"/>
      <c r="D37" s="4" t="s">
        <v>1209</v>
      </c>
      <c r="F37" s="243" t="s">
        <v>1244</v>
      </c>
    </row>
    <row r="38" spans="2:17" x14ac:dyDescent="0.3">
      <c r="B38" s="244"/>
      <c r="C38" s="244"/>
      <c r="D38" s="4" t="s">
        <v>1210</v>
      </c>
      <c r="F38" s="243" t="s">
        <v>1231</v>
      </c>
    </row>
    <row r="39" spans="2:17" x14ac:dyDescent="0.3">
      <c r="B39" s="244"/>
      <c r="C39" s="244"/>
      <c r="D39" s="4" t="s">
        <v>1211</v>
      </c>
      <c r="F39" s="243" t="s">
        <v>1232</v>
      </c>
    </row>
    <row r="40" spans="2:17" x14ac:dyDescent="0.3">
      <c r="B40" s="244"/>
      <c r="C40" s="244"/>
      <c r="D40" s="4" t="s">
        <v>1212</v>
      </c>
      <c r="F40" s="243" t="s">
        <v>1233</v>
      </c>
    </row>
    <row r="41" spans="2:17" x14ac:dyDescent="0.3">
      <c r="B41" s="244"/>
      <c r="C41" s="244"/>
      <c r="D41" s="4" t="s">
        <v>1213</v>
      </c>
      <c r="F41" s="243" t="s">
        <v>1245</v>
      </c>
    </row>
    <row r="42" spans="2:17" x14ac:dyDescent="0.3">
      <c r="B42" s="244"/>
      <c r="C42" s="244"/>
      <c r="D42" s="4" t="s">
        <v>1214</v>
      </c>
      <c r="F42" s="243" t="s">
        <v>1245</v>
      </c>
    </row>
    <row r="43" spans="2:17" x14ac:dyDescent="0.3">
      <c r="B43" s="244"/>
      <c r="C43" s="244"/>
      <c r="D43" s="4" t="s">
        <v>1215</v>
      </c>
      <c r="F43" s="243" t="s">
        <v>1234</v>
      </c>
    </row>
    <row r="44" spans="2:17" x14ac:dyDescent="0.3">
      <c r="B44" s="244"/>
      <c r="C44" s="244"/>
      <c r="D44" s="4" t="s">
        <v>1216</v>
      </c>
      <c r="F44" s="243" t="s">
        <v>1245</v>
      </c>
    </row>
    <row r="45" spans="2:17" x14ac:dyDescent="0.3">
      <c r="B45" s="244"/>
      <c r="C45" s="244"/>
      <c r="D45" s="4" t="s">
        <v>1217</v>
      </c>
      <c r="F45" s="243" t="s">
        <v>1235</v>
      </c>
    </row>
    <row r="46" spans="2:17" x14ac:dyDescent="0.3">
      <c r="B46" s="244"/>
      <c r="C46" s="244"/>
      <c r="D46" s="4" t="s">
        <v>1199</v>
      </c>
      <c r="F46" s="243" t="s">
        <v>1236</v>
      </c>
    </row>
    <row r="47" spans="2:17" x14ac:dyDescent="0.3">
      <c r="B47" s="244"/>
      <c r="C47" s="244"/>
      <c r="D47" s="4" t="s">
        <v>1218</v>
      </c>
      <c r="F47" s="243" t="s">
        <v>1237</v>
      </c>
    </row>
    <row r="48" spans="2:17" x14ac:dyDescent="0.3">
      <c r="B48" s="244"/>
      <c r="C48" s="244"/>
      <c r="D48" s="4" t="s">
        <v>1219</v>
      </c>
      <c r="F48" s="243" t="s">
        <v>1238</v>
      </c>
    </row>
    <row r="49" spans="2:6" x14ac:dyDescent="0.3">
      <c r="B49" s="244"/>
      <c r="C49" s="244"/>
      <c r="D49" s="4" t="s">
        <v>1220</v>
      </c>
      <c r="F49" s="243" t="s">
        <v>1245</v>
      </c>
    </row>
    <row r="50" spans="2:6" x14ac:dyDescent="0.3">
      <c r="B50" s="244"/>
      <c r="C50" s="244"/>
      <c r="D50" s="4" t="s">
        <v>1221</v>
      </c>
      <c r="F50" s="243" t="s">
        <v>1239</v>
      </c>
    </row>
    <row r="51" spans="2:6" x14ac:dyDescent="0.3">
      <c r="B51" s="244"/>
      <c r="C51" s="244"/>
      <c r="D51" s="4" t="s">
        <v>1222</v>
      </c>
      <c r="F51" s="243" t="s">
        <v>1245</v>
      </c>
    </row>
    <row r="52" spans="2:6" x14ac:dyDescent="0.3">
      <c r="B52" s="244"/>
      <c r="C52" s="244"/>
      <c r="D52" s="4" t="s">
        <v>1223</v>
      </c>
      <c r="F52" s="243" t="s">
        <v>1240</v>
      </c>
    </row>
    <row r="53" spans="2:6" x14ac:dyDescent="0.3">
      <c r="D53" s="4" t="s">
        <v>1224</v>
      </c>
      <c r="F53" s="243" t="s">
        <v>1241</v>
      </c>
    </row>
    <row r="54" spans="2:6" x14ac:dyDescent="0.3">
      <c r="D54" s="4" t="s">
        <v>1225</v>
      </c>
      <c r="F54" s="243" t="s">
        <v>1243</v>
      </c>
    </row>
  </sheetData>
  <sheetProtection password="EADB" sheet="1" objects="1" scenarios="1" selectLockedCells="1"/>
  <mergeCells count="72">
    <mergeCell ref="D29:F29"/>
    <mergeCell ref="B2:G6"/>
    <mergeCell ref="B9:C9"/>
    <mergeCell ref="E9:F9"/>
    <mergeCell ref="B11:C11"/>
    <mergeCell ref="E11:F11"/>
    <mergeCell ref="B10:C10"/>
    <mergeCell ref="E10:F10"/>
    <mergeCell ref="B24:C24"/>
    <mergeCell ref="E24:F24"/>
    <mergeCell ref="B25:C25"/>
    <mergeCell ref="E25:F25"/>
    <mergeCell ref="N11:O11"/>
    <mergeCell ref="B21:C21"/>
    <mergeCell ref="E21:F21"/>
    <mergeCell ref="B22:C22"/>
    <mergeCell ref="E22:F22"/>
    <mergeCell ref="B18:C18"/>
    <mergeCell ref="E18:F18"/>
    <mergeCell ref="B19:C19"/>
    <mergeCell ref="E19:F19"/>
    <mergeCell ref="B20:C20"/>
    <mergeCell ref="E20:F20"/>
    <mergeCell ref="B15:C15"/>
    <mergeCell ref="E15:F15"/>
    <mergeCell ref="B16:C16"/>
    <mergeCell ref="E16:F16"/>
    <mergeCell ref="B17:C17"/>
    <mergeCell ref="K9:L9"/>
    <mergeCell ref="K10:L10"/>
    <mergeCell ref="K11:L11"/>
    <mergeCell ref="B23:C23"/>
    <mergeCell ref="E23:F23"/>
    <mergeCell ref="E17:F17"/>
    <mergeCell ref="B12:C12"/>
    <mergeCell ref="E12:F12"/>
    <mergeCell ref="B13:C13"/>
    <mergeCell ref="E13:F13"/>
    <mergeCell ref="B14:C14"/>
    <mergeCell ref="E14:F14"/>
    <mergeCell ref="V7:Y8"/>
    <mergeCell ref="K21:L21"/>
    <mergeCell ref="N21:O21"/>
    <mergeCell ref="K22:L22"/>
    <mergeCell ref="N22:O22"/>
    <mergeCell ref="K18:L18"/>
    <mergeCell ref="N18:O18"/>
    <mergeCell ref="K19:L19"/>
    <mergeCell ref="N19:O19"/>
    <mergeCell ref="K20:L20"/>
    <mergeCell ref="N20:O20"/>
    <mergeCell ref="K15:L15"/>
    <mergeCell ref="N15:O15"/>
    <mergeCell ref="K16:L16"/>
    <mergeCell ref="N16:O16"/>
    <mergeCell ref="K17:L17"/>
    <mergeCell ref="K24:L24"/>
    <mergeCell ref="N24:O24"/>
    <mergeCell ref="K25:L25"/>
    <mergeCell ref="N25:O25"/>
    <mergeCell ref="M5:P6"/>
    <mergeCell ref="K23:L23"/>
    <mergeCell ref="N23:O23"/>
    <mergeCell ref="N17:O17"/>
    <mergeCell ref="K12:L12"/>
    <mergeCell ref="N12:O12"/>
    <mergeCell ref="K13:L13"/>
    <mergeCell ref="N13:O13"/>
    <mergeCell ref="K14:L14"/>
    <mergeCell ref="N14:O14"/>
    <mergeCell ref="N9:O9"/>
    <mergeCell ref="N10:O10"/>
  </mergeCells>
  <dataValidations count="2">
    <dataValidation type="list" allowBlank="1" showInputMessage="1" showErrorMessage="1" sqref="B10:C25">
      <formula1>Officers</formula1>
    </dataValidation>
    <dataValidation type="list" allowBlank="1" showInputMessage="1" sqref="I10:I25 R10:R25">
      <formula1>ROLES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BU624"/>
  <sheetViews>
    <sheetView showRowColHeaders="0" workbookViewId="0">
      <selection activeCell="B5" sqref="B5:D5"/>
    </sheetView>
  </sheetViews>
  <sheetFormatPr defaultColWidth="9.109375" defaultRowHeight="14.4" x14ac:dyDescent="0.3"/>
  <cols>
    <col min="1" max="13" width="9.109375" style="8"/>
    <col min="14" max="14" width="10.5546875" style="8" customWidth="1"/>
    <col min="15" max="15" width="9.88671875" style="8" customWidth="1"/>
    <col min="16" max="16" width="11.109375" style="8" customWidth="1"/>
    <col min="17" max="73" width="9.109375" style="30"/>
    <col min="74" max="16384" width="9.109375" style="8"/>
  </cols>
  <sheetData>
    <row r="1" spans="1:73" x14ac:dyDescent="0.3">
      <c r="A1" s="30"/>
      <c r="B1" s="30"/>
      <c r="C1" s="30"/>
      <c r="D1" s="30"/>
      <c r="E1" s="30"/>
      <c r="F1" s="30"/>
      <c r="G1" s="349" t="s">
        <v>8</v>
      </c>
      <c r="H1" s="349"/>
      <c r="I1" s="349"/>
      <c r="J1" s="349"/>
      <c r="K1" s="349"/>
      <c r="L1" s="349"/>
      <c r="M1" s="30"/>
      <c r="N1" s="30"/>
      <c r="O1" s="30"/>
      <c r="P1" s="30"/>
    </row>
    <row r="2" spans="1:73" x14ac:dyDescent="0.3">
      <c r="A2" s="30"/>
      <c r="B2" s="30"/>
      <c r="C2" s="30"/>
      <c r="D2" s="30"/>
      <c r="E2" s="30"/>
      <c r="F2" s="30"/>
      <c r="G2" s="349"/>
      <c r="H2" s="349"/>
      <c r="I2" s="349"/>
      <c r="J2" s="349"/>
      <c r="K2" s="349"/>
      <c r="L2" s="349"/>
      <c r="M2" s="30"/>
      <c r="N2" s="30"/>
      <c r="O2" s="30"/>
      <c r="P2" s="30"/>
    </row>
    <row r="3" spans="1:73" ht="15" thickBot="1" x14ac:dyDescent="0.3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73" s="10" customFormat="1" ht="15" thickBot="1" x14ac:dyDescent="0.35">
      <c r="B4" s="345" t="s">
        <v>220</v>
      </c>
      <c r="C4" s="346"/>
      <c r="D4" s="346"/>
      <c r="E4" s="346" t="s">
        <v>221</v>
      </c>
      <c r="F4" s="346"/>
      <c r="G4" s="346"/>
      <c r="H4" s="346" t="s">
        <v>203</v>
      </c>
      <c r="I4" s="346"/>
      <c r="J4" s="346"/>
      <c r="K4" s="346" t="s">
        <v>222</v>
      </c>
      <c r="L4" s="346"/>
      <c r="M4" s="346"/>
      <c r="N4" s="151" t="s">
        <v>218</v>
      </c>
      <c r="O4" s="151" t="s">
        <v>217</v>
      </c>
      <c r="P4" s="152" t="s">
        <v>219</v>
      </c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</row>
    <row r="5" spans="1:73" ht="15" thickBot="1" x14ac:dyDescent="0.35">
      <c r="A5" s="30"/>
      <c r="B5" s="347"/>
      <c r="C5" s="348"/>
      <c r="D5" s="348"/>
      <c r="E5" s="348"/>
      <c r="F5" s="348"/>
      <c r="G5" s="348"/>
      <c r="H5" s="348"/>
      <c r="I5" s="348"/>
      <c r="J5" s="348"/>
      <c r="K5" s="348"/>
      <c r="L5" s="348"/>
      <c r="M5" s="348"/>
      <c r="N5" s="153"/>
      <c r="O5" s="154"/>
      <c r="P5" s="155"/>
    </row>
    <row r="6" spans="1:73" ht="15" thickBot="1" x14ac:dyDescent="0.35">
      <c r="A6" s="30"/>
      <c r="B6" s="347"/>
      <c r="C6" s="348"/>
      <c r="D6" s="348"/>
      <c r="E6" s="348"/>
      <c r="F6" s="348"/>
      <c r="G6" s="348"/>
      <c r="H6" s="348"/>
      <c r="I6" s="348"/>
      <c r="J6" s="348"/>
      <c r="K6" s="348"/>
      <c r="L6" s="348"/>
      <c r="M6" s="348"/>
      <c r="N6" s="153"/>
      <c r="O6" s="154"/>
      <c r="P6" s="155"/>
    </row>
    <row r="7" spans="1:73" ht="15" thickBot="1" x14ac:dyDescent="0.35">
      <c r="A7" s="30"/>
      <c r="B7" s="347"/>
      <c r="C7" s="348"/>
      <c r="D7" s="348"/>
      <c r="E7" s="348"/>
      <c r="F7" s="348"/>
      <c r="G7" s="348"/>
      <c r="H7" s="348"/>
      <c r="I7" s="348"/>
      <c r="J7" s="348"/>
      <c r="K7" s="348"/>
      <c r="L7" s="348"/>
      <c r="M7" s="348"/>
      <c r="N7" s="156"/>
      <c r="O7" s="157"/>
      <c r="P7" s="155"/>
    </row>
    <row r="8" spans="1:73" ht="15" thickBot="1" x14ac:dyDescent="0.35">
      <c r="A8" s="30"/>
      <c r="B8" s="347"/>
      <c r="C8" s="348"/>
      <c r="D8" s="348"/>
      <c r="E8" s="348"/>
      <c r="F8" s="348"/>
      <c r="G8" s="348"/>
      <c r="H8" s="348"/>
      <c r="I8" s="348"/>
      <c r="J8" s="348"/>
      <c r="K8" s="348"/>
      <c r="L8" s="348"/>
      <c r="M8" s="348"/>
      <c r="N8" s="156"/>
      <c r="O8" s="157"/>
      <c r="P8" s="155"/>
    </row>
    <row r="9" spans="1:73" ht="15" thickBot="1" x14ac:dyDescent="0.35">
      <c r="A9" s="30"/>
      <c r="B9" s="347"/>
      <c r="C9" s="348"/>
      <c r="D9" s="348"/>
      <c r="E9" s="348"/>
      <c r="F9" s="348"/>
      <c r="G9" s="348"/>
      <c r="H9" s="348"/>
      <c r="I9" s="348"/>
      <c r="J9" s="348"/>
      <c r="K9" s="348"/>
      <c r="L9" s="348"/>
      <c r="M9" s="348"/>
      <c r="N9" s="156"/>
      <c r="O9" s="157"/>
      <c r="P9" s="155"/>
    </row>
    <row r="10" spans="1:73" ht="15" thickBot="1" x14ac:dyDescent="0.35">
      <c r="A10" s="30"/>
      <c r="B10" s="347"/>
      <c r="C10" s="348"/>
      <c r="D10" s="348"/>
      <c r="E10" s="348"/>
      <c r="F10" s="348"/>
      <c r="G10" s="348"/>
      <c r="H10" s="348"/>
      <c r="I10" s="348"/>
      <c r="J10" s="348"/>
      <c r="K10" s="348"/>
      <c r="L10" s="348"/>
      <c r="M10" s="348"/>
      <c r="N10" s="156"/>
      <c r="O10" s="157"/>
      <c r="P10" s="155"/>
    </row>
    <row r="11" spans="1:73" ht="15" thickBot="1" x14ac:dyDescent="0.35">
      <c r="A11" s="30"/>
      <c r="B11" s="347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156"/>
      <c r="O11" s="157"/>
      <c r="P11" s="155"/>
    </row>
    <row r="12" spans="1:73" ht="15" thickBot="1" x14ac:dyDescent="0.35">
      <c r="A12" s="30"/>
      <c r="B12" s="347"/>
      <c r="C12" s="348"/>
      <c r="D12" s="348"/>
      <c r="E12" s="348"/>
      <c r="F12" s="348"/>
      <c r="G12" s="348"/>
      <c r="H12" s="348"/>
      <c r="I12" s="348"/>
      <c r="J12" s="348"/>
      <c r="K12" s="348"/>
      <c r="L12" s="348"/>
      <c r="M12" s="348"/>
      <c r="N12" s="156"/>
      <c r="O12" s="157"/>
      <c r="P12" s="155"/>
    </row>
    <row r="13" spans="1:73" ht="15" thickBot="1" x14ac:dyDescent="0.35">
      <c r="A13" s="30"/>
      <c r="B13" s="347"/>
      <c r="C13" s="348"/>
      <c r="D13" s="348"/>
      <c r="E13" s="348"/>
      <c r="F13" s="348"/>
      <c r="G13" s="348"/>
      <c r="H13" s="348"/>
      <c r="I13" s="348"/>
      <c r="J13" s="348"/>
      <c r="K13" s="348"/>
      <c r="L13" s="348"/>
      <c r="M13" s="348"/>
      <c r="N13" s="156"/>
      <c r="O13" s="157"/>
      <c r="P13" s="155"/>
    </row>
    <row r="14" spans="1:73" ht="15" thickBot="1" x14ac:dyDescent="0.35">
      <c r="A14" s="30"/>
      <c r="B14" s="347"/>
      <c r="C14" s="348"/>
      <c r="D14" s="348"/>
      <c r="E14" s="348"/>
      <c r="F14" s="348"/>
      <c r="G14" s="348"/>
      <c r="H14" s="348"/>
      <c r="I14" s="348"/>
      <c r="J14" s="348"/>
      <c r="K14" s="348"/>
      <c r="L14" s="348"/>
      <c r="M14" s="348"/>
      <c r="N14" s="156"/>
      <c r="O14" s="157"/>
      <c r="P14" s="155"/>
    </row>
    <row r="15" spans="1:73" ht="15" thickBot="1" x14ac:dyDescent="0.35">
      <c r="A15" s="30"/>
      <c r="B15" s="347"/>
      <c r="C15" s="348"/>
      <c r="D15" s="348"/>
      <c r="E15" s="348"/>
      <c r="F15" s="348"/>
      <c r="G15" s="348"/>
      <c r="H15" s="348"/>
      <c r="I15" s="348"/>
      <c r="J15" s="348"/>
      <c r="K15" s="348"/>
      <c r="L15" s="348"/>
      <c r="M15" s="348"/>
      <c r="N15" s="156"/>
      <c r="O15" s="157"/>
      <c r="P15" s="155"/>
    </row>
    <row r="16" spans="1:73" ht="15" thickBot="1" x14ac:dyDescent="0.35">
      <c r="A16" s="30"/>
      <c r="B16" s="347"/>
      <c r="C16" s="348"/>
      <c r="D16" s="348"/>
      <c r="E16" s="348"/>
      <c r="F16" s="348"/>
      <c r="G16" s="348"/>
      <c r="H16" s="348"/>
      <c r="I16" s="348"/>
      <c r="J16" s="348"/>
      <c r="K16" s="348"/>
      <c r="L16" s="348"/>
      <c r="M16" s="348"/>
      <c r="N16" s="156"/>
      <c r="O16" s="157"/>
      <c r="P16" s="155"/>
    </row>
    <row r="17" spans="1:16" ht="15" thickBot="1" x14ac:dyDescent="0.35">
      <c r="A17" s="30"/>
      <c r="B17" s="347"/>
      <c r="C17" s="348"/>
      <c r="D17" s="348"/>
      <c r="E17" s="348"/>
      <c r="F17" s="348"/>
      <c r="G17" s="348"/>
      <c r="H17" s="348"/>
      <c r="I17" s="348"/>
      <c r="J17" s="348"/>
      <c r="K17" s="348"/>
      <c r="L17" s="348"/>
      <c r="M17" s="348"/>
      <c r="N17" s="156"/>
      <c r="O17" s="157"/>
      <c r="P17" s="155"/>
    </row>
    <row r="18" spans="1:16" ht="15" thickBot="1" x14ac:dyDescent="0.35">
      <c r="A18" s="30"/>
      <c r="B18" s="347"/>
      <c r="C18" s="348"/>
      <c r="D18" s="348"/>
      <c r="E18" s="348"/>
      <c r="F18" s="348"/>
      <c r="G18" s="348"/>
      <c r="H18" s="348"/>
      <c r="I18" s="348"/>
      <c r="J18" s="348"/>
      <c r="K18" s="348"/>
      <c r="L18" s="348"/>
      <c r="M18" s="348"/>
      <c r="N18" s="156"/>
      <c r="O18" s="157"/>
      <c r="P18" s="155"/>
    </row>
    <row r="19" spans="1:16" ht="15" thickBot="1" x14ac:dyDescent="0.35">
      <c r="A19" s="30"/>
      <c r="B19" s="347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8"/>
      <c r="N19" s="156"/>
      <c r="O19" s="157"/>
      <c r="P19" s="155"/>
    </row>
    <row r="20" spans="1:16" ht="15" thickBot="1" x14ac:dyDescent="0.35">
      <c r="A20" s="30"/>
      <c r="B20" s="347"/>
      <c r="C20" s="348"/>
      <c r="D20" s="348"/>
      <c r="E20" s="348"/>
      <c r="F20" s="348"/>
      <c r="G20" s="348"/>
      <c r="H20" s="348"/>
      <c r="I20" s="348"/>
      <c r="J20" s="348"/>
      <c r="K20" s="348"/>
      <c r="L20" s="348"/>
      <c r="M20" s="348"/>
      <c r="N20" s="156"/>
      <c r="O20" s="157"/>
      <c r="P20" s="155"/>
    </row>
    <row r="21" spans="1:16" ht="15" thickBot="1" x14ac:dyDescent="0.35">
      <c r="A21" s="30"/>
      <c r="B21" s="347"/>
      <c r="C21" s="348"/>
      <c r="D21" s="348"/>
      <c r="E21" s="348"/>
      <c r="F21" s="348"/>
      <c r="G21" s="348"/>
      <c r="H21" s="348"/>
      <c r="I21" s="348"/>
      <c r="J21" s="348"/>
      <c r="K21" s="348"/>
      <c r="L21" s="348"/>
      <c r="M21" s="348"/>
      <c r="N21" s="156"/>
      <c r="O21" s="157"/>
      <c r="P21" s="155"/>
    </row>
    <row r="22" spans="1:16" ht="15" thickBot="1" x14ac:dyDescent="0.35">
      <c r="A22" s="30"/>
      <c r="B22" s="347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8"/>
      <c r="N22" s="156"/>
      <c r="O22" s="157"/>
      <c r="P22" s="155"/>
    </row>
    <row r="23" spans="1:16" ht="15" thickBot="1" x14ac:dyDescent="0.35">
      <c r="A23" s="30"/>
      <c r="B23" s="347"/>
      <c r="C23" s="348"/>
      <c r="D23" s="348"/>
      <c r="E23" s="348"/>
      <c r="F23" s="348"/>
      <c r="G23" s="348"/>
      <c r="H23" s="348"/>
      <c r="I23" s="348"/>
      <c r="J23" s="348"/>
      <c r="K23" s="348"/>
      <c r="L23" s="348"/>
      <c r="M23" s="348"/>
      <c r="N23" s="156"/>
      <c r="O23" s="157"/>
      <c r="P23" s="155"/>
    </row>
    <row r="24" spans="1:16" ht="15" thickBot="1" x14ac:dyDescent="0.35">
      <c r="A24" s="30"/>
      <c r="B24" s="347"/>
      <c r="C24" s="348"/>
      <c r="D24" s="348"/>
      <c r="E24" s="348"/>
      <c r="F24" s="348"/>
      <c r="G24" s="348"/>
      <c r="H24" s="348"/>
      <c r="I24" s="348"/>
      <c r="J24" s="348"/>
      <c r="K24" s="348"/>
      <c r="L24" s="348"/>
      <c r="M24" s="348"/>
      <c r="N24" s="156"/>
      <c r="O24" s="157"/>
      <c r="P24" s="155"/>
    </row>
    <row r="25" spans="1:16" ht="15" thickBot="1" x14ac:dyDescent="0.35">
      <c r="A25" s="30"/>
      <c r="B25" s="347"/>
      <c r="C25" s="348"/>
      <c r="D25" s="348"/>
      <c r="E25" s="348"/>
      <c r="F25" s="348"/>
      <c r="G25" s="348"/>
      <c r="H25" s="348"/>
      <c r="I25" s="348"/>
      <c r="J25" s="348"/>
      <c r="K25" s="348"/>
      <c r="L25" s="348"/>
      <c r="M25" s="348"/>
      <c r="N25" s="156"/>
      <c r="O25" s="157"/>
      <c r="P25" s="155"/>
    </row>
    <row r="26" spans="1:16" ht="15" thickBot="1" x14ac:dyDescent="0.35">
      <c r="A26" s="30"/>
      <c r="B26" s="347"/>
      <c r="C26" s="348"/>
      <c r="D26" s="348"/>
      <c r="E26" s="348"/>
      <c r="F26" s="348"/>
      <c r="G26" s="348"/>
      <c r="H26" s="348"/>
      <c r="I26" s="348"/>
      <c r="J26" s="348"/>
      <c r="K26" s="348"/>
      <c r="L26" s="348"/>
      <c r="M26" s="348"/>
      <c r="N26" s="156"/>
      <c r="O26" s="157"/>
      <c r="P26" s="155"/>
    </row>
    <row r="27" spans="1:16" ht="15" thickBot="1" x14ac:dyDescent="0.35">
      <c r="A27" s="30"/>
      <c r="B27" s="347"/>
      <c r="C27" s="348"/>
      <c r="D27" s="348"/>
      <c r="E27" s="348"/>
      <c r="F27" s="348"/>
      <c r="G27" s="348"/>
      <c r="H27" s="348"/>
      <c r="I27" s="348"/>
      <c r="J27" s="348"/>
      <c r="K27" s="348"/>
      <c r="L27" s="348"/>
      <c r="M27" s="348"/>
      <c r="N27" s="156"/>
      <c r="O27" s="157"/>
      <c r="P27" s="155"/>
    </row>
    <row r="28" spans="1:16" ht="15" thickBot="1" x14ac:dyDescent="0.35">
      <c r="A28" s="30"/>
      <c r="B28" s="347"/>
      <c r="C28" s="348"/>
      <c r="D28" s="348"/>
      <c r="E28" s="348"/>
      <c r="F28" s="348"/>
      <c r="G28" s="348"/>
      <c r="H28" s="348"/>
      <c r="I28" s="348"/>
      <c r="J28" s="348"/>
      <c r="K28" s="348"/>
      <c r="L28" s="348"/>
      <c r="M28" s="348"/>
      <c r="N28" s="156"/>
      <c r="O28" s="157"/>
      <c r="P28" s="155"/>
    </row>
    <row r="29" spans="1:16" ht="15" thickBot="1" x14ac:dyDescent="0.35">
      <c r="A29" s="30"/>
      <c r="B29" s="347"/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156"/>
      <c r="O29" s="157"/>
      <c r="P29" s="155"/>
    </row>
    <row r="30" spans="1:16" ht="15" thickBot="1" x14ac:dyDescent="0.35">
      <c r="A30" s="30"/>
      <c r="B30" s="347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156"/>
      <c r="O30" s="157"/>
      <c r="P30" s="155"/>
    </row>
    <row r="31" spans="1:16" ht="15" thickBot="1" x14ac:dyDescent="0.35">
      <c r="A31" s="30"/>
      <c r="B31" s="347"/>
      <c r="C31" s="348"/>
      <c r="D31" s="348"/>
      <c r="E31" s="348"/>
      <c r="F31" s="348"/>
      <c r="G31" s="348"/>
      <c r="H31" s="348"/>
      <c r="I31" s="348"/>
      <c r="J31" s="348"/>
      <c r="K31" s="348"/>
      <c r="L31" s="348"/>
      <c r="M31" s="348"/>
      <c r="N31" s="156"/>
      <c r="O31" s="157"/>
      <c r="P31" s="155"/>
    </row>
    <row r="32" spans="1:16" ht="15" thickBot="1" x14ac:dyDescent="0.35">
      <c r="A32" s="30"/>
      <c r="B32" s="347"/>
      <c r="C32" s="348"/>
      <c r="D32" s="348"/>
      <c r="E32" s="348"/>
      <c r="F32" s="348"/>
      <c r="G32" s="348"/>
      <c r="H32" s="348"/>
      <c r="I32" s="348"/>
      <c r="J32" s="348"/>
      <c r="K32" s="348"/>
      <c r="L32" s="348"/>
      <c r="M32" s="348"/>
      <c r="N32" s="156"/>
      <c r="O32" s="157"/>
      <c r="P32" s="155"/>
    </row>
    <row r="33" spans="1:16" ht="15" thickBot="1" x14ac:dyDescent="0.35">
      <c r="A33" s="30"/>
      <c r="B33" s="347"/>
      <c r="C33" s="348"/>
      <c r="D33" s="348"/>
      <c r="E33" s="348"/>
      <c r="F33" s="348"/>
      <c r="G33" s="348"/>
      <c r="H33" s="348"/>
      <c r="I33" s="348"/>
      <c r="J33" s="348"/>
      <c r="K33" s="348"/>
      <c r="L33" s="348"/>
      <c r="M33" s="348"/>
      <c r="N33" s="156"/>
      <c r="O33" s="157"/>
      <c r="P33" s="155"/>
    </row>
    <row r="34" spans="1:16" ht="15" thickBot="1" x14ac:dyDescent="0.35">
      <c r="A34" s="30"/>
      <c r="B34" s="347"/>
      <c r="C34" s="348"/>
      <c r="D34" s="348"/>
      <c r="E34" s="348"/>
      <c r="F34" s="348"/>
      <c r="G34" s="348"/>
      <c r="H34" s="348"/>
      <c r="I34" s="348"/>
      <c r="J34" s="348"/>
      <c r="K34" s="348"/>
      <c r="L34" s="348"/>
      <c r="M34" s="348"/>
      <c r="N34" s="156"/>
      <c r="O34" s="157"/>
      <c r="P34" s="155"/>
    </row>
    <row r="35" spans="1:16" ht="15" thickBot="1" x14ac:dyDescent="0.35">
      <c r="A35" s="30"/>
      <c r="B35" s="347"/>
      <c r="C35" s="348"/>
      <c r="D35" s="348"/>
      <c r="E35" s="348"/>
      <c r="F35" s="348"/>
      <c r="G35" s="348"/>
      <c r="H35" s="348"/>
      <c r="I35" s="348"/>
      <c r="J35" s="348"/>
      <c r="K35" s="348"/>
      <c r="L35" s="348"/>
      <c r="M35" s="348"/>
      <c r="N35" s="156"/>
      <c r="O35" s="157"/>
      <c r="P35" s="155"/>
    </row>
    <row r="36" spans="1:16" ht="15" thickBot="1" x14ac:dyDescent="0.35">
      <c r="A36" s="30"/>
      <c r="B36" s="347"/>
      <c r="C36" s="348"/>
      <c r="D36" s="348"/>
      <c r="E36" s="348"/>
      <c r="F36" s="348"/>
      <c r="G36" s="348"/>
      <c r="H36" s="348"/>
      <c r="I36" s="348"/>
      <c r="J36" s="348"/>
      <c r="K36" s="348"/>
      <c r="L36" s="348"/>
      <c r="M36" s="348"/>
      <c r="N36" s="156"/>
      <c r="O36" s="157"/>
      <c r="P36" s="155"/>
    </row>
    <row r="37" spans="1:16" ht="15" thickBot="1" x14ac:dyDescent="0.35">
      <c r="A37" s="30"/>
      <c r="B37" s="347"/>
      <c r="C37" s="348"/>
      <c r="D37" s="348"/>
      <c r="E37" s="348"/>
      <c r="F37" s="348"/>
      <c r="G37" s="348"/>
      <c r="H37" s="348"/>
      <c r="I37" s="348"/>
      <c r="J37" s="348"/>
      <c r="K37" s="348"/>
      <c r="L37" s="348"/>
      <c r="M37" s="348"/>
      <c r="N37" s="156"/>
      <c r="O37" s="157"/>
      <c r="P37" s="155"/>
    </row>
    <row r="38" spans="1:16" ht="15" thickBot="1" x14ac:dyDescent="0.35">
      <c r="A38" s="30"/>
      <c r="B38" s="347"/>
      <c r="C38" s="348"/>
      <c r="D38" s="348"/>
      <c r="E38" s="348"/>
      <c r="F38" s="348"/>
      <c r="G38" s="348"/>
      <c r="H38" s="348"/>
      <c r="I38" s="348"/>
      <c r="J38" s="348"/>
      <c r="K38" s="348"/>
      <c r="L38" s="348"/>
      <c r="M38" s="348"/>
      <c r="N38" s="156"/>
      <c r="O38" s="157"/>
      <c r="P38" s="155"/>
    </row>
    <row r="39" spans="1:16" ht="15" thickBot="1" x14ac:dyDescent="0.35">
      <c r="A39" s="30"/>
      <c r="B39" s="347"/>
      <c r="C39" s="348"/>
      <c r="D39" s="348"/>
      <c r="E39" s="348"/>
      <c r="F39" s="348"/>
      <c r="G39" s="348"/>
      <c r="H39" s="348"/>
      <c r="I39" s="348"/>
      <c r="J39" s="348"/>
      <c r="K39" s="348"/>
      <c r="L39" s="348"/>
      <c r="M39" s="348"/>
      <c r="N39" s="156"/>
      <c r="O39" s="157"/>
      <c r="P39" s="155"/>
    </row>
    <row r="40" spans="1:16" ht="15" thickBot="1" x14ac:dyDescent="0.35">
      <c r="A40" s="30"/>
      <c r="B40" s="347"/>
      <c r="C40" s="348"/>
      <c r="D40" s="348"/>
      <c r="E40" s="348"/>
      <c r="F40" s="348"/>
      <c r="G40" s="348"/>
      <c r="H40" s="348"/>
      <c r="I40" s="348"/>
      <c r="J40" s="348"/>
      <c r="K40" s="348"/>
      <c r="L40" s="348"/>
      <c r="M40" s="348"/>
      <c r="N40" s="156"/>
      <c r="O40" s="157"/>
      <c r="P40" s="155"/>
    </row>
    <row r="41" spans="1:16" ht="15" thickBot="1" x14ac:dyDescent="0.35">
      <c r="A41" s="30"/>
      <c r="B41" s="347"/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156"/>
      <c r="O41" s="157"/>
      <c r="P41" s="155"/>
    </row>
    <row r="42" spans="1:16" ht="15" thickBot="1" x14ac:dyDescent="0.35">
      <c r="A42" s="30"/>
      <c r="B42" s="347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156"/>
      <c r="O42" s="157"/>
      <c r="P42" s="155"/>
    </row>
    <row r="43" spans="1:16" s="30" customFormat="1" x14ac:dyDescent="0.3"/>
    <row r="44" spans="1:16" s="30" customFormat="1" x14ac:dyDescent="0.3"/>
    <row r="45" spans="1:16" s="30" customFormat="1" x14ac:dyDescent="0.3"/>
    <row r="46" spans="1:16" s="30" customFormat="1" x14ac:dyDescent="0.3"/>
    <row r="47" spans="1:16" s="30" customFormat="1" x14ac:dyDescent="0.3"/>
    <row r="48" spans="1:16" s="30" customFormat="1" x14ac:dyDescent="0.3"/>
    <row r="49" s="30" customFormat="1" x14ac:dyDescent="0.3"/>
    <row r="50" s="30" customFormat="1" x14ac:dyDescent="0.3"/>
    <row r="51" s="30" customFormat="1" x14ac:dyDescent="0.3"/>
    <row r="52" s="30" customFormat="1" x14ac:dyDescent="0.3"/>
    <row r="53" s="30" customFormat="1" x14ac:dyDescent="0.3"/>
    <row r="54" s="30" customFormat="1" x14ac:dyDescent="0.3"/>
    <row r="55" s="30" customFormat="1" x14ac:dyDescent="0.3"/>
    <row r="56" s="30" customFormat="1" x14ac:dyDescent="0.3"/>
    <row r="57" s="30" customFormat="1" x14ac:dyDescent="0.3"/>
    <row r="58" s="30" customFormat="1" x14ac:dyDescent="0.3"/>
    <row r="59" s="30" customFormat="1" x14ac:dyDescent="0.3"/>
    <row r="60" s="30" customFormat="1" x14ac:dyDescent="0.3"/>
    <row r="61" s="30" customFormat="1" x14ac:dyDescent="0.3"/>
    <row r="62" s="30" customFormat="1" x14ac:dyDescent="0.3"/>
    <row r="63" s="30" customFormat="1" x14ac:dyDescent="0.3"/>
    <row r="64" s="30" customFormat="1" x14ac:dyDescent="0.3"/>
    <row r="65" s="30" customFormat="1" x14ac:dyDescent="0.3"/>
    <row r="66" s="30" customFormat="1" x14ac:dyDescent="0.3"/>
    <row r="67" s="30" customFormat="1" x14ac:dyDescent="0.3"/>
    <row r="68" s="30" customFormat="1" x14ac:dyDescent="0.3"/>
    <row r="69" s="30" customFormat="1" x14ac:dyDescent="0.3"/>
    <row r="70" s="30" customFormat="1" x14ac:dyDescent="0.3"/>
    <row r="71" s="30" customFormat="1" x14ac:dyDescent="0.3"/>
    <row r="72" s="30" customFormat="1" x14ac:dyDescent="0.3"/>
    <row r="73" s="30" customFormat="1" x14ac:dyDescent="0.3"/>
    <row r="74" s="30" customFormat="1" x14ac:dyDescent="0.3"/>
    <row r="75" s="30" customFormat="1" x14ac:dyDescent="0.3"/>
    <row r="76" s="30" customFormat="1" x14ac:dyDescent="0.3"/>
    <row r="77" s="30" customFormat="1" x14ac:dyDescent="0.3"/>
    <row r="78" s="30" customFormat="1" x14ac:dyDescent="0.3"/>
    <row r="79" s="30" customFormat="1" x14ac:dyDescent="0.3"/>
    <row r="80" s="30" customFormat="1" x14ac:dyDescent="0.3"/>
    <row r="81" s="30" customFormat="1" x14ac:dyDescent="0.3"/>
    <row r="82" s="30" customFormat="1" x14ac:dyDescent="0.3"/>
    <row r="83" s="30" customFormat="1" x14ac:dyDescent="0.3"/>
    <row r="84" s="30" customFormat="1" x14ac:dyDescent="0.3"/>
    <row r="85" s="30" customFormat="1" x14ac:dyDescent="0.3"/>
    <row r="86" s="30" customFormat="1" x14ac:dyDescent="0.3"/>
    <row r="87" s="30" customFormat="1" x14ac:dyDescent="0.3"/>
    <row r="88" s="30" customFormat="1" x14ac:dyDescent="0.3"/>
    <row r="89" s="30" customFormat="1" x14ac:dyDescent="0.3"/>
    <row r="90" s="30" customFormat="1" x14ac:dyDescent="0.3"/>
    <row r="91" s="30" customFormat="1" x14ac:dyDescent="0.3"/>
    <row r="92" s="30" customFormat="1" x14ac:dyDescent="0.3"/>
    <row r="93" s="30" customFormat="1" x14ac:dyDescent="0.3"/>
    <row r="94" s="30" customFormat="1" x14ac:dyDescent="0.3"/>
    <row r="95" s="30" customFormat="1" x14ac:dyDescent="0.3"/>
    <row r="96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  <row r="201" s="30" customFormat="1" x14ac:dyDescent="0.3"/>
    <row r="202" s="30" customFormat="1" x14ac:dyDescent="0.3"/>
    <row r="203" s="30" customFormat="1" x14ac:dyDescent="0.3"/>
    <row r="204" s="30" customFormat="1" x14ac:dyDescent="0.3"/>
    <row r="205" s="30" customFormat="1" x14ac:dyDescent="0.3"/>
    <row r="206" s="30" customFormat="1" x14ac:dyDescent="0.3"/>
    <row r="207" s="30" customFormat="1" x14ac:dyDescent="0.3"/>
    <row r="208" s="30" customFormat="1" x14ac:dyDescent="0.3"/>
    <row r="209" s="30" customFormat="1" x14ac:dyDescent="0.3"/>
    <row r="210" s="30" customFormat="1" x14ac:dyDescent="0.3"/>
    <row r="211" s="30" customFormat="1" x14ac:dyDescent="0.3"/>
    <row r="212" s="30" customFormat="1" x14ac:dyDescent="0.3"/>
    <row r="213" s="30" customFormat="1" x14ac:dyDescent="0.3"/>
    <row r="214" s="30" customFormat="1" x14ac:dyDescent="0.3"/>
    <row r="215" s="30" customFormat="1" x14ac:dyDescent="0.3"/>
    <row r="216" s="30" customFormat="1" x14ac:dyDescent="0.3"/>
    <row r="217" s="30" customFormat="1" x14ac:dyDescent="0.3"/>
    <row r="218" s="30" customFormat="1" x14ac:dyDescent="0.3"/>
    <row r="219" s="30" customFormat="1" x14ac:dyDescent="0.3"/>
    <row r="220" s="30" customFormat="1" x14ac:dyDescent="0.3"/>
    <row r="221" s="30" customFormat="1" x14ac:dyDescent="0.3"/>
    <row r="222" s="30" customFormat="1" x14ac:dyDescent="0.3"/>
    <row r="223" s="30" customFormat="1" x14ac:dyDescent="0.3"/>
    <row r="224" s="30" customFormat="1" x14ac:dyDescent="0.3"/>
    <row r="225" s="30" customFormat="1" x14ac:dyDescent="0.3"/>
    <row r="226" s="30" customFormat="1" x14ac:dyDescent="0.3"/>
    <row r="227" s="30" customFormat="1" x14ac:dyDescent="0.3"/>
    <row r="228" s="30" customFormat="1" x14ac:dyDescent="0.3"/>
    <row r="229" s="30" customFormat="1" x14ac:dyDescent="0.3"/>
    <row r="230" s="30" customFormat="1" x14ac:dyDescent="0.3"/>
    <row r="231" s="30" customFormat="1" x14ac:dyDescent="0.3"/>
    <row r="232" s="30" customFormat="1" x14ac:dyDescent="0.3"/>
    <row r="233" s="30" customFormat="1" x14ac:dyDescent="0.3"/>
    <row r="234" s="30" customFormat="1" x14ac:dyDescent="0.3"/>
    <row r="235" s="30" customFormat="1" x14ac:dyDescent="0.3"/>
    <row r="236" s="30" customFormat="1" x14ac:dyDescent="0.3"/>
    <row r="237" s="30" customFormat="1" x14ac:dyDescent="0.3"/>
    <row r="238" s="30" customFormat="1" x14ac:dyDescent="0.3"/>
    <row r="239" s="30" customFormat="1" x14ac:dyDescent="0.3"/>
    <row r="240" s="30" customFormat="1" x14ac:dyDescent="0.3"/>
    <row r="241" s="30" customFormat="1" x14ac:dyDescent="0.3"/>
    <row r="242" s="30" customFormat="1" x14ac:dyDescent="0.3"/>
    <row r="243" s="30" customFormat="1" x14ac:dyDescent="0.3"/>
    <row r="244" s="30" customFormat="1" x14ac:dyDescent="0.3"/>
    <row r="245" s="30" customFormat="1" x14ac:dyDescent="0.3"/>
    <row r="246" s="30" customFormat="1" x14ac:dyDescent="0.3"/>
    <row r="247" s="30" customFormat="1" x14ac:dyDescent="0.3"/>
    <row r="248" s="30" customFormat="1" x14ac:dyDescent="0.3"/>
    <row r="249" s="30" customFormat="1" x14ac:dyDescent="0.3"/>
    <row r="250" s="30" customFormat="1" x14ac:dyDescent="0.3"/>
    <row r="251" s="30" customFormat="1" x14ac:dyDescent="0.3"/>
    <row r="252" s="30" customFormat="1" x14ac:dyDescent="0.3"/>
    <row r="253" s="30" customFormat="1" x14ac:dyDescent="0.3"/>
    <row r="254" s="30" customFormat="1" x14ac:dyDescent="0.3"/>
    <row r="255" s="30" customFormat="1" x14ac:dyDescent="0.3"/>
    <row r="256" s="30" customFormat="1" x14ac:dyDescent="0.3"/>
    <row r="257" s="30" customFormat="1" x14ac:dyDescent="0.3"/>
    <row r="258" s="30" customFormat="1" x14ac:dyDescent="0.3"/>
    <row r="259" s="30" customFormat="1" x14ac:dyDescent="0.3"/>
    <row r="260" s="30" customFormat="1" x14ac:dyDescent="0.3"/>
    <row r="261" s="30" customFormat="1" x14ac:dyDescent="0.3"/>
    <row r="262" s="30" customFormat="1" x14ac:dyDescent="0.3"/>
    <row r="263" s="30" customFormat="1" x14ac:dyDescent="0.3"/>
    <row r="264" s="30" customFormat="1" x14ac:dyDescent="0.3"/>
    <row r="265" s="30" customFormat="1" x14ac:dyDescent="0.3"/>
    <row r="266" s="30" customFormat="1" x14ac:dyDescent="0.3"/>
    <row r="267" s="30" customFormat="1" x14ac:dyDescent="0.3"/>
    <row r="268" s="30" customFormat="1" x14ac:dyDescent="0.3"/>
    <row r="269" s="30" customFormat="1" x14ac:dyDescent="0.3"/>
    <row r="270" s="30" customFormat="1" x14ac:dyDescent="0.3"/>
    <row r="271" s="30" customFormat="1" x14ac:dyDescent="0.3"/>
    <row r="272" s="30" customFormat="1" x14ac:dyDescent="0.3"/>
    <row r="273" s="30" customFormat="1" x14ac:dyDescent="0.3"/>
    <row r="274" s="30" customFormat="1" x14ac:dyDescent="0.3"/>
    <row r="275" s="30" customFormat="1" x14ac:dyDescent="0.3"/>
    <row r="276" s="30" customFormat="1" x14ac:dyDescent="0.3"/>
    <row r="277" s="30" customFormat="1" x14ac:dyDescent="0.3"/>
    <row r="278" s="30" customFormat="1" x14ac:dyDescent="0.3"/>
    <row r="279" s="30" customFormat="1" x14ac:dyDescent="0.3"/>
    <row r="280" s="30" customFormat="1" x14ac:dyDescent="0.3"/>
    <row r="281" s="30" customFormat="1" x14ac:dyDescent="0.3"/>
    <row r="282" s="30" customFormat="1" x14ac:dyDescent="0.3"/>
    <row r="283" s="30" customFormat="1" x14ac:dyDescent="0.3"/>
    <row r="284" s="30" customFormat="1" x14ac:dyDescent="0.3"/>
    <row r="285" s="30" customFormat="1" x14ac:dyDescent="0.3"/>
    <row r="286" s="30" customFormat="1" x14ac:dyDescent="0.3"/>
    <row r="287" s="30" customFormat="1" x14ac:dyDescent="0.3"/>
    <row r="288" s="30" customFormat="1" x14ac:dyDescent="0.3"/>
    <row r="289" s="30" customFormat="1" x14ac:dyDescent="0.3"/>
    <row r="290" s="30" customFormat="1" x14ac:dyDescent="0.3"/>
    <row r="291" s="30" customFormat="1" x14ac:dyDescent="0.3"/>
    <row r="292" s="30" customFormat="1" x14ac:dyDescent="0.3"/>
    <row r="293" s="30" customFormat="1" x14ac:dyDescent="0.3"/>
    <row r="294" s="30" customFormat="1" x14ac:dyDescent="0.3"/>
    <row r="295" s="30" customFormat="1" x14ac:dyDescent="0.3"/>
    <row r="296" s="30" customFormat="1" x14ac:dyDescent="0.3"/>
    <row r="297" s="30" customFormat="1" x14ac:dyDescent="0.3"/>
    <row r="298" s="30" customFormat="1" x14ac:dyDescent="0.3"/>
    <row r="299" s="30" customFormat="1" x14ac:dyDescent="0.3"/>
    <row r="300" s="30" customFormat="1" x14ac:dyDescent="0.3"/>
    <row r="301" s="30" customFormat="1" x14ac:dyDescent="0.3"/>
    <row r="302" s="30" customFormat="1" x14ac:dyDescent="0.3"/>
    <row r="303" s="30" customFormat="1" x14ac:dyDescent="0.3"/>
    <row r="304" s="30" customFormat="1" x14ac:dyDescent="0.3"/>
    <row r="305" s="30" customFormat="1" x14ac:dyDescent="0.3"/>
    <row r="306" s="30" customFormat="1" x14ac:dyDescent="0.3"/>
    <row r="307" s="30" customFormat="1" x14ac:dyDescent="0.3"/>
    <row r="308" s="30" customFormat="1" x14ac:dyDescent="0.3"/>
    <row r="309" s="30" customFormat="1" x14ac:dyDescent="0.3"/>
    <row r="310" s="30" customFormat="1" x14ac:dyDescent="0.3"/>
    <row r="311" s="30" customFormat="1" x14ac:dyDescent="0.3"/>
    <row r="312" s="30" customFormat="1" x14ac:dyDescent="0.3"/>
    <row r="313" s="30" customFormat="1" x14ac:dyDescent="0.3"/>
    <row r="314" s="30" customFormat="1" x14ac:dyDescent="0.3"/>
    <row r="315" s="30" customFormat="1" x14ac:dyDescent="0.3"/>
    <row r="316" s="30" customFormat="1" x14ac:dyDescent="0.3"/>
    <row r="317" s="30" customFormat="1" x14ac:dyDescent="0.3"/>
    <row r="318" s="30" customFormat="1" x14ac:dyDescent="0.3"/>
    <row r="319" s="30" customFormat="1" x14ac:dyDescent="0.3"/>
    <row r="320" s="30" customFormat="1" x14ac:dyDescent="0.3"/>
    <row r="321" s="30" customFormat="1" x14ac:dyDescent="0.3"/>
    <row r="322" s="30" customFormat="1" x14ac:dyDescent="0.3"/>
    <row r="323" s="30" customFormat="1" x14ac:dyDescent="0.3"/>
    <row r="324" s="30" customFormat="1" x14ac:dyDescent="0.3"/>
    <row r="325" s="30" customFormat="1" x14ac:dyDescent="0.3"/>
    <row r="326" s="30" customFormat="1" x14ac:dyDescent="0.3"/>
    <row r="327" s="30" customFormat="1" x14ac:dyDescent="0.3"/>
    <row r="328" s="30" customFormat="1" x14ac:dyDescent="0.3"/>
    <row r="329" s="30" customFormat="1" x14ac:dyDescent="0.3"/>
    <row r="330" s="30" customFormat="1" x14ac:dyDescent="0.3"/>
    <row r="331" s="30" customFormat="1" x14ac:dyDescent="0.3"/>
    <row r="332" s="30" customFormat="1" x14ac:dyDescent="0.3"/>
    <row r="333" s="30" customFormat="1" x14ac:dyDescent="0.3"/>
    <row r="334" s="30" customFormat="1" x14ac:dyDescent="0.3"/>
    <row r="335" s="30" customFormat="1" x14ac:dyDescent="0.3"/>
    <row r="336" s="30" customFormat="1" x14ac:dyDescent="0.3"/>
    <row r="337" s="30" customFormat="1" x14ac:dyDescent="0.3"/>
    <row r="338" s="30" customFormat="1" x14ac:dyDescent="0.3"/>
    <row r="339" s="30" customFormat="1" x14ac:dyDescent="0.3"/>
    <row r="340" s="30" customFormat="1" x14ac:dyDescent="0.3"/>
    <row r="341" s="30" customFormat="1" x14ac:dyDescent="0.3"/>
    <row r="342" s="30" customFormat="1" x14ac:dyDescent="0.3"/>
    <row r="343" s="30" customFormat="1" x14ac:dyDescent="0.3"/>
    <row r="344" s="30" customFormat="1" x14ac:dyDescent="0.3"/>
    <row r="345" s="30" customFormat="1" x14ac:dyDescent="0.3"/>
    <row r="346" s="30" customFormat="1" x14ac:dyDescent="0.3"/>
    <row r="347" s="30" customFormat="1" x14ac:dyDescent="0.3"/>
    <row r="348" s="30" customFormat="1" x14ac:dyDescent="0.3"/>
    <row r="349" s="30" customFormat="1" x14ac:dyDescent="0.3"/>
    <row r="350" s="30" customFormat="1" x14ac:dyDescent="0.3"/>
    <row r="351" s="30" customFormat="1" x14ac:dyDescent="0.3"/>
    <row r="352" s="30" customFormat="1" x14ac:dyDescent="0.3"/>
    <row r="353" s="30" customFormat="1" x14ac:dyDescent="0.3"/>
    <row r="354" s="30" customFormat="1" x14ac:dyDescent="0.3"/>
    <row r="355" s="30" customFormat="1" x14ac:dyDescent="0.3"/>
    <row r="356" s="30" customFormat="1" x14ac:dyDescent="0.3"/>
    <row r="357" s="30" customFormat="1" x14ac:dyDescent="0.3"/>
    <row r="358" s="30" customFormat="1" x14ac:dyDescent="0.3"/>
    <row r="359" s="30" customFormat="1" x14ac:dyDescent="0.3"/>
    <row r="360" s="30" customFormat="1" x14ac:dyDescent="0.3"/>
    <row r="361" s="30" customFormat="1" x14ac:dyDescent="0.3"/>
    <row r="362" s="30" customFormat="1" x14ac:dyDescent="0.3"/>
    <row r="363" s="30" customFormat="1" x14ac:dyDescent="0.3"/>
    <row r="364" s="30" customFormat="1" x14ac:dyDescent="0.3"/>
    <row r="365" s="30" customFormat="1" x14ac:dyDescent="0.3"/>
    <row r="366" s="30" customFormat="1" x14ac:dyDescent="0.3"/>
    <row r="367" s="30" customFormat="1" x14ac:dyDescent="0.3"/>
    <row r="368" s="30" customFormat="1" x14ac:dyDescent="0.3"/>
    <row r="369" s="30" customFormat="1" x14ac:dyDescent="0.3"/>
    <row r="370" s="30" customFormat="1" x14ac:dyDescent="0.3"/>
    <row r="371" s="30" customFormat="1" x14ac:dyDescent="0.3"/>
    <row r="372" s="30" customFormat="1" x14ac:dyDescent="0.3"/>
    <row r="373" s="30" customFormat="1" x14ac:dyDescent="0.3"/>
    <row r="374" s="30" customFormat="1" x14ac:dyDescent="0.3"/>
    <row r="375" s="30" customFormat="1" x14ac:dyDescent="0.3"/>
    <row r="376" s="30" customFormat="1" x14ac:dyDescent="0.3"/>
    <row r="377" s="30" customFormat="1" x14ac:dyDescent="0.3"/>
    <row r="378" s="30" customFormat="1" x14ac:dyDescent="0.3"/>
    <row r="379" s="30" customFormat="1" x14ac:dyDescent="0.3"/>
    <row r="380" s="30" customFormat="1" x14ac:dyDescent="0.3"/>
    <row r="381" s="30" customFormat="1" x14ac:dyDescent="0.3"/>
    <row r="382" s="30" customFormat="1" x14ac:dyDescent="0.3"/>
    <row r="383" s="30" customFormat="1" x14ac:dyDescent="0.3"/>
    <row r="384" s="30" customFormat="1" x14ac:dyDescent="0.3"/>
    <row r="385" s="30" customFormat="1" x14ac:dyDescent="0.3"/>
    <row r="386" s="30" customFormat="1" x14ac:dyDescent="0.3"/>
    <row r="387" s="30" customFormat="1" x14ac:dyDescent="0.3"/>
    <row r="388" s="30" customFormat="1" x14ac:dyDescent="0.3"/>
    <row r="389" s="30" customFormat="1" x14ac:dyDescent="0.3"/>
    <row r="390" s="30" customFormat="1" x14ac:dyDescent="0.3"/>
    <row r="391" s="30" customFormat="1" x14ac:dyDescent="0.3"/>
    <row r="392" s="30" customFormat="1" x14ac:dyDescent="0.3"/>
    <row r="393" s="30" customFormat="1" x14ac:dyDescent="0.3"/>
    <row r="394" s="30" customFormat="1" x14ac:dyDescent="0.3"/>
    <row r="395" s="30" customFormat="1" x14ac:dyDescent="0.3"/>
    <row r="396" s="30" customFormat="1" x14ac:dyDescent="0.3"/>
    <row r="397" s="30" customFormat="1" x14ac:dyDescent="0.3"/>
    <row r="398" s="30" customFormat="1" x14ac:dyDescent="0.3"/>
    <row r="399" s="30" customFormat="1" x14ac:dyDescent="0.3"/>
    <row r="400" s="30" customFormat="1" x14ac:dyDescent="0.3"/>
    <row r="401" s="30" customFormat="1" x14ac:dyDescent="0.3"/>
    <row r="402" s="30" customFormat="1" x14ac:dyDescent="0.3"/>
    <row r="403" s="30" customFormat="1" x14ac:dyDescent="0.3"/>
    <row r="404" s="30" customFormat="1" x14ac:dyDescent="0.3"/>
    <row r="405" s="30" customFormat="1" x14ac:dyDescent="0.3"/>
    <row r="406" s="30" customFormat="1" x14ac:dyDescent="0.3"/>
    <row r="407" s="30" customFormat="1" x14ac:dyDescent="0.3"/>
    <row r="408" s="30" customFormat="1" x14ac:dyDescent="0.3"/>
    <row r="409" s="30" customFormat="1" x14ac:dyDescent="0.3"/>
    <row r="410" s="30" customFormat="1" x14ac:dyDescent="0.3"/>
    <row r="411" s="30" customFormat="1" x14ac:dyDescent="0.3"/>
    <row r="412" s="30" customFormat="1" x14ac:dyDescent="0.3"/>
    <row r="413" s="30" customFormat="1" x14ac:dyDescent="0.3"/>
    <row r="414" s="30" customFormat="1" x14ac:dyDescent="0.3"/>
    <row r="415" s="30" customFormat="1" x14ac:dyDescent="0.3"/>
    <row r="416" s="30" customFormat="1" x14ac:dyDescent="0.3"/>
    <row r="417" s="30" customFormat="1" x14ac:dyDescent="0.3"/>
    <row r="418" s="30" customFormat="1" x14ac:dyDescent="0.3"/>
    <row r="419" s="30" customFormat="1" x14ac:dyDescent="0.3"/>
    <row r="420" s="30" customFormat="1" x14ac:dyDescent="0.3"/>
    <row r="421" s="30" customFormat="1" x14ac:dyDescent="0.3"/>
    <row r="422" s="30" customFormat="1" x14ac:dyDescent="0.3"/>
    <row r="423" s="30" customFormat="1" x14ac:dyDescent="0.3"/>
    <row r="424" s="30" customFormat="1" x14ac:dyDescent="0.3"/>
    <row r="425" s="30" customFormat="1" x14ac:dyDescent="0.3"/>
    <row r="426" s="30" customFormat="1" x14ac:dyDescent="0.3"/>
    <row r="427" s="30" customFormat="1" x14ac:dyDescent="0.3"/>
    <row r="428" s="30" customFormat="1" x14ac:dyDescent="0.3"/>
    <row r="429" s="30" customFormat="1" x14ac:dyDescent="0.3"/>
    <row r="430" s="30" customFormat="1" x14ac:dyDescent="0.3"/>
    <row r="431" s="30" customFormat="1" x14ac:dyDescent="0.3"/>
    <row r="432" s="30" customFormat="1" x14ac:dyDescent="0.3"/>
    <row r="433" s="30" customFormat="1" x14ac:dyDescent="0.3"/>
    <row r="434" s="30" customFormat="1" x14ac:dyDescent="0.3"/>
    <row r="435" s="30" customFormat="1" x14ac:dyDescent="0.3"/>
    <row r="436" s="30" customFormat="1" x14ac:dyDescent="0.3"/>
    <row r="437" s="30" customFormat="1" x14ac:dyDescent="0.3"/>
    <row r="438" s="30" customFormat="1" x14ac:dyDescent="0.3"/>
    <row r="439" s="30" customFormat="1" x14ac:dyDescent="0.3"/>
    <row r="440" s="30" customFormat="1" x14ac:dyDescent="0.3"/>
    <row r="441" s="30" customFormat="1" x14ac:dyDescent="0.3"/>
    <row r="442" s="30" customFormat="1" x14ac:dyDescent="0.3"/>
    <row r="443" s="30" customFormat="1" x14ac:dyDescent="0.3"/>
    <row r="444" s="30" customFormat="1" x14ac:dyDescent="0.3"/>
    <row r="445" s="30" customFormat="1" x14ac:dyDescent="0.3"/>
    <row r="446" s="30" customFormat="1" x14ac:dyDescent="0.3"/>
    <row r="447" s="30" customFormat="1" x14ac:dyDescent="0.3"/>
    <row r="448" s="30" customFormat="1" x14ac:dyDescent="0.3"/>
    <row r="449" s="30" customFormat="1" x14ac:dyDescent="0.3"/>
    <row r="450" s="30" customFormat="1" x14ac:dyDescent="0.3"/>
    <row r="451" s="30" customFormat="1" x14ac:dyDescent="0.3"/>
    <row r="452" s="30" customFormat="1" x14ac:dyDescent="0.3"/>
    <row r="453" s="30" customFormat="1" x14ac:dyDescent="0.3"/>
    <row r="454" s="30" customFormat="1" x14ac:dyDescent="0.3"/>
    <row r="455" s="30" customFormat="1" x14ac:dyDescent="0.3"/>
    <row r="456" s="30" customFormat="1" x14ac:dyDescent="0.3"/>
    <row r="457" s="30" customFormat="1" x14ac:dyDescent="0.3"/>
    <row r="458" s="30" customFormat="1" x14ac:dyDescent="0.3"/>
    <row r="459" s="30" customFormat="1" x14ac:dyDescent="0.3"/>
    <row r="460" s="30" customFormat="1" x14ac:dyDescent="0.3"/>
    <row r="461" s="30" customFormat="1" x14ac:dyDescent="0.3"/>
    <row r="462" s="30" customFormat="1" x14ac:dyDescent="0.3"/>
    <row r="463" s="30" customFormat="1" x14ac:dyDescent="0.3"/>
    <row r="464" s="30" customFormat="1" x14ac:dyDescent="0.3"/>
    <row r="465" s="30" customFormat="1" x14ac:dyDescent="0.3"/>
    <row r="466" s="30" customFormat="1" x14ac:dyDescent="0.3"/>
    <row r="467" s="30" customFormat="1" x14ac:dyDescent="0.3"/>
    <row r="468" s="30" customFormat="1" x14ac:dyDescent="0.3"/>
    <row r="469" s="30" customFormat="1" x14ac:dyDescent="0.3"/>
    <row r="470" s="30" customFormat="1" x14ac:dyDescent="0.3"/>
    <row r="471" s="30" customFormat="1" x14ac:dyDescent="0.3"/>
    <row r="472" s="30" customFormat="1" x14ac:dyDescent="0.3"/>
    <row r="473" s="30" customFormat="1" x14ac:dyDescent="0.3"/>
    <row r="474" s="30" customFormat="1" x14ac:dyDescent="0.3"/>
    <row r="475" s="30" customFormat="1" x14ac:dyDescent="0.3"/>
    <row r="476" s="30" customFormat="1" x14ac:dyDescent="0.3"/>
    <row r="477" s="30" customFormat="1" x14ac:dyDescent="0.3"/>
    <row r="478" s="30" customFormat="1" x14ac:dyDescent="0.3"/>
    <row r="479" s="30" customFormat="1" x14ac:dyDescent="0.3"/>
    <row r="480" s="30" customFormat="1" x14ac:dyDescent="0.3"/>
    <row r="481" s="30" customFormat="1" x14ac:dyDescent="0.3"/>
    <row r="482" s="30" customFormat="1" x14ac:dyDescent="0.3"/>
    <row r="483" s="30" customFormat="1" x14ac:dyDescent="0.3"/>
    <row r="484" s="30" customFormat="1" x14ac:dyDescent="0.3"/>
    <row r="485" s="30" customFormat="1" x14ac:dyDescent="0.3"/>
    <row r="486" s="30" customFormat="1" x14ac:dyDescent="0.3"/>
    <row r="487" s="30" customFormat="1" x14ac:dyDescent="0.3"/>
    <row r="488" s="30" customFormat="1" x14ac:dyDescent="0.3"/>
    <row r="489" s="30" customFormat="1" x14ac:dyDescent="0.3"/>
    <row r="490" s="30" customFormat="1" x14ac:dyDescent="0.3"/>
    <row r="491" s="30" customFormat="1" x14ac:dyDescent="0.3"/>
    <row r="492" s="30" customFormat="1" x14ac:dyDescent="0.3"/>
    <row r="493" s="30" customFormat="1" x14ac:dyDescent="0.3"/>
    <row r="494" s="30" customFormat="1" x14ac:dyDescent="0.3"/>
    <row r="495" s="30" customFormat="1" x14ac:dyDescent="0.3"/>
    <row r="496" s="30" customFormat="1" x14ac:dyDescent="0.3"/>
    <row r="497" s="30" customFormat="1" x14ac:dyDescent="0.3"/>
    <row r="498" s="30" customFormat="1" x14ac:dyDescent="0.3"/>
    <row r="499" s="30" customFormat="1" x14ac:dyDescent="0.3"/>
    <row r="500" s="30" customFormat="1" x14ac:dyDescent="0.3"/>
    <row r="501" s="30" customFormat="1" x14ac:dyDescent="0.3"/>
    <row r="502" s="30" customFormat="1" x14ac:dyDescent="0.3"/>
    <row r="503" s="30" customFormat="1" x14ac:dyDescent="0.3"/>
    <row r="504" s="30" customFormat="1" x14ac:dyDescent="0.3"/>
    <row r="505" s="30" customFormat="1" x14ac:dyDescent="0.3"/>
    <row r="506" s="30" customFormat="1" x14ac:dyDescent="0.3"/>
    <row r="507" s="30" customFormat="1" x14ac:dyDescent="0.3"/>
    <row r="508" s="30" customFormat="1" x14ac:dyDescent="0.3"/>
    <row r="509" s="30" customFormat="1" x14ac:dyDescent="0.3"/>
    <row r="510" s="30" customFormat="1" x14ac:dyDescent="0.3"/>
    <row r="511" s="30" customFormat="1" x14ac:dyDescent="0.3"/>
    <row r="512" s="30" customFormat="1" x14ac:dyDescent="0.3"/>
    <row r="513" s="30" customFormat="1" x14ac:dyDescent="0.3"/>
    <row r="514" s="30" customFormat="1" x14ac:dyDescent="0.3"/>
    <row r="515" s="30" customFormat="1" x14ac:dyDescent="0.3"/>
    <row r="516" s="30" customFormat="1" x14ac:dyDescent="0.3"/>
    <row r="517" s="30" customFormat="1" x14ac:dyDescent="0.3"/>
    <row r="518" s="30" customFormat="1" x14ac:dyDescent="0.3"/>
    <row r="519" s="30" customFormat="1" x14ac:dyDescent="0.3"/>
    <row r="520" s="30" customFormat="1" x14ac:dyDescent="0.3"/>
    <row r="521" s="30" customFormat="1" x14ac:dyDescent="0.3"/>
    <row r="522" s="30" customFormat="1" x14ac:dyDescent="0.3"/>
    <row r="523" s="30" customFormat="1" x14ac:dyDescent="0.3"/>
    <row r="524" s="30" customFormat="1" x14ac:dyDescent="0.3"/>
    <row r="525" s="30" customFormat="1" x14ac:dyDescent="0.3"/>
    <row r="526" s="30" customFormat="1" x14ac:dyDescent="0.3"/>
    <row r="527" s="30" customFormat="1" x14ac:dyDescent="0.3"/>
    <row r="528" s="30" customFormat="1" x14ac:dyDescent="0.3"/>
    <row r="529" s="30" customFormat="1" x14ac:dyDescent="0.3"/>
    <row r="530" s="30" customFormat="1" x14ac:dyDescent="0.3"/>
    <row r="531" s="30" customFormat="1" x14ac:dyDescent="0.3"/>
    <row r="532" s="30" customFormat="1" x14ac:dyDescent="0.3"/>
    <row r="533" s="30" customFormat="1" x14ac:dyDescent="0.3"/>
    <row r="534" s="30" customFormat="1" x14ac:dyDescent="0.3"/>
    <row r="535" s="30" customFormat="1" x14ac:dyDescent="0.3"/>
    <row r="536" s="30" customFormat="1" x14ac:dyDescent="0.3"/>
    <row r="537" s="30" customFormat="1" x14ac:dyDescent="0.3"/>
    <row r="538" s="30" customFormat="1" x14ac:dyDescent="0.3"/>
    <row r="539" s="30" customFormat="1" x14ac:dyDescent="0.3"/>
    <row r="540" s="30" customFormat="1" x14ac:dyDescent="0.3"/>
    <row r="541" s="30" customFormat="1" x14ac:dyDescent="0.3"/>
    <row r="542" s="30" customFormat="1" x14ac:dyDescent="0.3"/>
    <row r="543" s="30" customFormat="1" x14ac:dyDescent="0.3"/>
    <row r="544" s="30" customFormat="1" x14ac:dyDescent="0.3"/>
    <row r="545" s="30" customFormat="1" x14ac:dyDescent="0.3"/>
    <row r="546" s="30" customFormat="1" x14ac:dyDescent="0.3"/>
    <row r="547" s="30" customFormat="1" x14ac:dyDescent="0.3"/>
    <row r="548" s="30" customFormat="1" x14ac:dyDescent="0.3"/>
    <row r="549" s="30" customFormat="1" x14ac:dyDescent="0.3"/>
    <row r="550" s="30" customFormat="1" x14ac:dyDescent="0.3"/>
    <row r="551" s="30" customFormat="1" x14ac:dyDescent="0.3"/>
    <row r="552" s="30" customFormat="1" x14ac:dyDescent="0.3"/>
    <row r="553" s="30" customFormat="1" x14ac:dyDescent="0.3"/>
    <row r="554" s="30" customFormat="1" x14ac:dyDescent="0.3"/>
    <row r="555" s="30" customFormat="1" x14ac:dyDescent="0.3"/>
    <row r="556" s="30" customFormat="1" x14ac:dyDescent="0.3"/>
    <row r="557" s="30" customFormat="1" x14ac:dyDescent="0.3"/>
    <row r="558" s="30" customFormat="1" x14ac:dyDescent="0.3"/>
    <row r="559" s="30" customFormat="1" x14ac:dyDescent="0.3"/>
    <row r="560" s="30" customFormat="1" x14ac:dyDescent="0.3"/>
    <row r="561" s="30" customFormat="1" x14ac:dyDescent="0.3"/>
    <row r="562" s="30" customFormat="1" x14ac:dyDescent="0.3"/>
    <row r="563" s="30" customFormat="1" x14ac:dyDescent="0.3"/>
    <row r="564" s="30" customFormat="1" x14ac:dyDescent="0.3"/>
    <row r="565" s="30" customFormat="1" x14ac:dyDescent="0.3"/>
    <row r="566" s="30" customFormat="1" x14ac:dyDescent="0.3"/>
    <row r="567" s="30" customFormat="1" x14ac:dyDescent="0.3"/>
    <row r="568" s="30" customFormat="1" x14ac:dyDescent="0.3"/>
    <row r="569" s="30" customFormat="1" x14ac:dyDescent="0.3"/>
    <row r="570" s="30" customFormat="1" x14ac:dyDescent="0.3"/>
    <row r="571" s="30" customFormat="1" x14ac:dyDescent="0.3"/>
    <row r="572" s="30" customFormat="1" x14ac:dyDescent="0.3"/>
    <row r="573" s="30" customFormat="1" x14ac:dyDescent="0.3"/>
    <row r="574" s="30" customFormat="1" x14ac:dyDescent="0.3"/>
    <row r="575" s="30" customFormat="1" x14ac:dyDescent="0.3"/>
    <row r="576" s="30" customFormat="1" x14ac:dyDescent="0.3"/>
    <row r="577" s="30" customFormat="1" x14ac:dyDescent="0.3"/>
    <row r="578" s="30" customFormat="1" x14ac:dyDescent="0.3"/>
    <row r="579" s="30" customFormat="1" x14ac:dyDescent="0.3"/>
    <row r="580" s="30" customFormat="1" x14ac:dyDescent="0.3"/>
    <row r="581" s="30" customFormat="1" x14ac:dyDescent="0.3"/>
    <row r="582" s="30" customFormat="1" x14ac:dyDescent="0.3"/>
    <row r="583" s="30" customFormat="1" x14ac:dyDescent="0.3"/>
    <row r="584" s="30" customFormat="1" x14ac:dyDescent="0.3"/>
    <row r="585" s="30" customFormat="1" x14ac:dyDescent="0.3"/>
    <row r="586" s="30" customFormat="1" x14ac:dyDescent="0.3"/>
    <row r="587" s="30" customFormat="1" x14ac:dyDescent="0.3"/>
    <row r="588" s="30" customFormat="1" x14ac:dyDescent="0.3"/>
    <row r="589" s="30" customFormat="1" x14ac:dyDescent="0.3"/>
    <row r="590" s="30" customFormat="1" x14ac:dyDescent="0.3"/>
    <row r="591" s="30" customFormat="1" x14ac:dyDescent="0.3"/>
    <row r="592" s="30" customFormat="1" x14ac:dyDescent="0.3"/>
    <row r="593" s="30" customFormat="1" x14ac:dyDescent="0.3"/>
    <row r="594" s="30" customFormat="1" x14ac:dyDescent="0.3"/>
    <row r="595" s="30" customFormat="1" x14ac:dyDescent="0.3"/>
    <row r="596" s="30" customFormat="1" x14ac:dyDescent="0.3"/>
    <row r="597" s="30" customFormat="1" x14ac:dyDescent="0.3"/>
    <row r="598" s="30" customFormat="1" x14ac:dyDescent="0.3"/>
    <row r="599" s="30" customFormat="1" x14ac:dyDescent="0.3"/>
    <row r="600" s="30" customFormat="1" x14ac:dyDescent="0.3"/>
    <row r="601" s="30" customFormat="1" x14ac:dyDescent="0.3"/>
    <row r="602" s="30" customFormat="1" x14ac:dyDescent="0.3"/>
    <row r="603" s="30" customFormat="1" x14ac:dyDescent="0.3"/>
    <row r="604" s="30" customFormat="1" x14ac:dyDescent="0.3"/>
    <row r="605" s="30" customFormat="1" x14ac:dyDescent="0.3"/>
    <row r="606" s="30" customFormat="1" x14ac:dyDescent="0.3"/>
    <row r="607" s="30" customFormat="1" x14ac:dyDescent="0.3"/>
    <row r="608" s="30" customFormat="1" x14ac:dyDescent="0.3"/>
    <row r="609" s="30" customFormat="1" x14ac:dyDescent="0.3"/>
    <row r="610" s="30" customFormat="1" x14ac:dyDescent="0.3"/>
    <row r="611" s="30" customFormat="1" x14ac:dyDescent="0.3"/>
    <row r="612" s="30" customFormat="1" x14ac:dyDescent="0.3"/>
    <row r="613" s="30" customFormat="1" x14ac:dyDescent="0.3"/>
    <row r="614" s="30" customFormat="1" x14ac:dyDescent="0.3"/>
    <row r="615" s="30" customFormat="1" x14ac:dyDescent="0.3"/>
    <row r="616" s="30" customFormat="1" x14ac:dyDescent="0.3"/>
    <row r="617" s="30" customFormat="1" x14ac:dyDescent="0.3"/>
    <row r="618" s="30" customFormat="1" x14ac:dyDescent="0.3"/>
    <row r="619" s="30" customFormat="1" x14ac:dyDescent="0.3"/>
    <row r="620" s="30" customFormat="1" x14ac:dyDescent="0.3"/>
    <row r="621" s="30" customFormat="1" x14ac:dyDescent="0.3"/>
    <row r="622" s="30" customFormat="1" x14ac:dyDescent="0.3"/>
    <row r="623" s="30" customFormat="1" x14ac:dyDescent="0.3"/>
    <row r="624" s="30" customFormat="1" x14ac:dyDescent="0.3"/>
  </sheetData>
  <sheetProtection password="EADB" sheet="1" objects="1" scenarios="1" selectLockedCells="1"/>
  <mergeCells count="157">
    <mergeCell ref="B42:D42"/>
    <mergeCell ref="E42:G42"/>
    <mergeCell ref="H42:J42"/>
    <mergeCell ref="K42:M42"/>
    <mergeCell ref="G1:L2"/>
    <mergeCell ref="B40:D40"/>
    <mergeCell ref="E40:G40"/>
    <mergeCell ref="H40:J40"/>
    <mergeCell ref="K40:M40"/>
    <mergeCell ref="B41:D41"/>
    <mergeCell ref="E41:G41"/>
    <mergeCell ref="H41:J41"/>
    <mergeCell ref="K41:M41"/>
    <mergeCell ref="B38:D38"/>
    <mergeCell ref="E38:G38"/>
    <mergeCell ref="H38:J38"/>
    <mergeCell ref="K38:M38"/>
    <mergeCell ref="B39:D39"/>
    <mergeCell ref="E39:G39"/>
    <mergeCell ref="H39:J39"/>
    <mergeCell ref="K39:M39"/>
    <mergeCell ref="B36:D36"/>
    <mergeCell ref="E36:G36"/>
    <mergeCell ref="H36:J36"/>
    <mergeCell ref="K36:M36"/>
    <mergeCell ref="B37:D37"/>
    <mergeCell ref="E37:G37"/>
    <mergeCell ref="H37:J37"/>
    <mergeCell ref="K37:M37"/>
    <mergeCell ref="B34:D34"/>
    <mergeCell ref="E34:G34"/>
    <mergeCell ref="H34:J34"/>
    <mergeCell ref="K34:M34"/>
    <mergeCell ref="B35:D35"/>
    <mergeCell ref="E35:G35"/>
    <mergeCell ref="H35:J35"/>
    <mergeCell ref="K35:M35"/>
    <mergeCell ref="B32:D32"/>
    <mergeCell ref="E32:G32"/>
    <mergeCell ref="H32:J32"/>
    <mergeCell ref="K32:M32"/>
    <mergeCell ref="B33:D33"/>
    <mergeCell ref="E33:G33"/>
    <mergeCell ref="H33:J33"/>
    <mergeCell ref="K33:M33"/>
    <mergeCell ref="B30:D30"/>
    <mergeCell ref="E30:G30"/>
    <mergeCell ref="H30:J30"/>
    <mergeCell ref="K30:M30"/>
    <mergeCell ref="B31:D31"/>
    <mergeCell ref="E31:G31"/>
    <mergeCell ref="H31:J31"/>
    <mergeCell ref="K31:M31"/>
    <mergeCell ref="B28:D28"/>
    <mergeCell ref="E28:G28"/>
    <mergeCell ref="H28:J28"/>
    <mergeCell ref="K28:M28"/>
    <mergeCell ref="B29:D29"/>
    <mergeCell ref="E29:G29"/>
    <mergeCell ref="H29:J29"/>
    <mergeCell ref="K29:M29"/>
    <mergeCell ref="B26:D26"/>
    <mergeCell ref="E26:G26"/>
    <mergeCell ref="H26:J26"/>
    <mergeCell ref="K26:M26"/>
    <mergeCell ref="B27:D27"/>
    <mergeCell ref="E27:G27"/>
    <mergeCell ref="H27:J27"/>
    <mergeCell ref="K27:M27"/>
    <mergeCell ref="B24:D24"/>
    <mergeCell ref="E24:G24"/>
    <mergeCell ref="H24:J24"/>
    <mergeCell ref="K24:M24"/>
    <mergeCell ref="B25:D25"/>
    <mergeCell ref="E25:G25"/>
    <mergeCell ref="H25:J25"/>
    <mergeCell ref="K25:M25"/>
    <mergeCell ref="B22:D22"/>
    <mergeCell ref="E22:G22"/>
    <mergeCell ref="H22:J22"/>
    <mergeCell ref="K22:M22"/>
    <mergeCell ref="B23:D23"/>
    <mergeCell ref="E23:G23"/>
    <mergeCell ref="H23:J23"/>
    <mergeCell ref="K23:M23"/>
    <mergeCell ref="B20:D20"/>
    <mergeCell ref="E20:G20"/>
    <mergeCell ref="H20:J20"/>
    <mergeCell ref="K20:M20"/>
    <mergeCell ref="B21:D21"/>
    <mergeCell ref="E21:G21"/>
    <mergeCell ref="H21:J21"/>
    <mergeCell ref="K21:M21"/>
    <mergeCell ref="B18:D18"/>
    <mergeCell ref="E18:G18"/>
    <mergeCell ref="H18:J18"/>
    <mergeCell ref="K18:M18"/>
    <mergeCell ref="B19:D19"/>
    <mergeCell ref="E19:G19"/>
    <mergeCell ref="H19:J19"/>
    <mergeCell ref="K19:M19"/>
    <mergeCell ref="B16:D16"/>
    <mergeCell ref="E16:G16"/>
    <mergeCell ref="H16:J16"/>
    <mergeCell ref="K16:M16"/>
    <mergeCell ref="B17:D17"/>
    <mergeCell ref="E17:G17"/>
    <mergeCell ref="H17:J17"/>
    <mergeCell ref="K17:M17"/>
    <mergeCell ref="B14:D14"/>
    <mergeCell ref="E14:G14"/>
    <mergeCell ref="H14:J14"/>
    <mergeCell ref="K14:M14"/>
    <mergeCell ref="B15:D15"/>
    <mergeCell ref="E15:G15"/>
    <mergeCell ref="H15:J15"/>
    <mergeCell ref="K15:M15"/>
    <mergeCell ref="B12:D12"/>
    <mergeCell ref="E12:G12"/>
    <mergeCell ref="H12:J12"/>
    <mergeCell ref="K12:M12"/>
    <mergeCell ref="B13:D13"/>
    <mergeCell ref="E13:G13"/>
    <mergeCell ref="H13:J13"/>
    <mergeCell ref="K13:M13"/>
    <mergeCell ref="B10:D10"/>
    <mergeCell ref="E10:G10"/>
    <mergeCell ref="H10:J10"/>
    <mergeCell ref="K10:M10"/>
    <mergeCell ref="B11:D11"/>
    <mergeCell ref="E11:G11"/>
    <mergeCell ref="H11:J11"/>
    <mergeCell ref="K11:M11"/>
    <mergeCell ref="B9:D9"/>
    <mergeCell ref="E9:G9"/>
    <mergeCell ref="H9:J9"/>
    <mergeCell ref="K9:M9"/>
    <mergeCell ref="B6:D6"/>
    <mergeCell ref="E6:G6"/>
    <mergeCell ref="H6:J6"/>
    <mergeCell ref="K6:M6"/>
    <mergeCell ref="B7:D7"/>
    <mergeCell ref="E7:G7"/>
    <mergeCell ref="H7:J7"/>
    <mergeCell ref="K7:M7"/>
    <mergeCell ref="B4:D4"/>
    <mergeCell ref="E4:G4"/>
    <mergeCell ref="H4:J4"/>
    <mergeCell ref="K4:M4"/>
    <mergeCell ref="B5:D5"/>
    <mergeCell ref="E5:G5"/>
    <mergeCell ref="H5:J5"/>
    <mergeCell ref="K5:M5"/>
    <mergeCell ref="B8:D8"/>
    <mergeCell ref="E8:G8"/>
    <mergeCell ref="H8:J8"/>
    <mergeCell ref="K8:M8"/>
  </mergeCells>
  <pageMargins left="0.7" right="0.7" top="0.75" bottom="0.75" header="0.3" footer="0.3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2:AL80"/>
  <sheetViews>
    <sheetView topLeftCell="B7" workbookViewId="0">
      <selection activeCell="W16" sqref="W16"/>
    </sheetView>
  </sheetViews>
  <sheetFormatPr defaultRowHeight="14.4" x14ac:dyDescent="0.3"/>
  <cols>
    <col min="2" max="2" width="23" customWidth="1"/>
    <col min="10" max="10" width="20.6640625" customWidth="1"/>
    <col min="13" max="13" width="18.6640625" customWidth="1"/>
    <col min="27" max="27" width="25.5546875" customWidth="1"/>
    <col min="32" max="32" width="22.33203125" customWidth="1"/>
  </cols>
  <sheetData>
    <row r="2" spans="2:38" ht="15" x14ac:dyDescent="0.25">
      <c r="J2" t="s">
        <v>248</v>
      </c>
    </row>
    <row r="3" spans="2:38" ht="15" x14ac:dyDescent="0.25">
      <c r="J3" t="s">
        <v>249</v>
      </c>
    </row>
    <row r="4" spans="2:38" ht="15" x14ac:dyDescent="0.25">
      <c r="J4" t="s">
        <v>250</v>
      </c>
    </row>
    <row r="7" spans="2:38" s="15" customFormat="1" ht="18.75" x14ac:dyDescent="0.3">
      <c r="B7" s="14" t="s">
        <v>193</v>
      </c>
      <c r="C7" s="14"/>
      <c r="D7" s="14" t="s">
        <v>158</v>
      </c>
      <c r="E7" s="14" t="s">
        <v>151</v>
      </c>
      <c r="F7" s="14" t="s">
        <v>160</v>
      </c>
      <c r="G7" s="14" t="s">
        <v>159</v>
      </c>
      <c r="H7" s="14" t="s">
        <v>164</v>
      </c>
      <c r="I7" s="14" t="s">
        <v>165</v>
      </c>
      <c r="J7" s="14" t="s">
        <v>142</v>
      </c>
      <c r="K7" s="14" t="s">
        <v>173</v>
      </c>
      <c r="L7" s="14" t="s">
        <v>172</v>
      </c>
      <c r="M7" s="14" t="s">
        <v>171</v>
      </c>
      <c r="N7" s="14" t="s">
        <v>167</v>
      </c>
      <c r="O7" s="14" t="s">
        <v>170</v>
      </c>
      <c r="P7" s="14" t="s">
        <v>169</v>
      </c>
      <c r="Q7" s="14" t="s">
        <v>168</v>
      </c>
      <c r="R7" s="14" t="s">
        <v>152</v>
      </c>
      <c r="S7" s="14" t="s">
        <v>153</v>
      </c>
      <c r="T7" s="14" t="s">
        <v>147</v>
      </c>
      <c r="U7" s="14" t="s">
        <v>146</v>
      </c>
      <c r="V7" s="14" t="s">
        <v>145</v>
      </c>
      <c r="W7" s="14" t="s">
        <v>144</v>
      </c>
      <c r="X7" s="14" t="s">
        <v>148</v>
      </c>
      <c r="Y7" s="14" t="s">
        <v>149</v>
      </c>
      <c r="Z7" s="14" t="s">
        <v>150</v>
      </c>
      <c r="AA7" s="14" t="s">
        <v>143</v>
      </c>
      <c r="AB7" s="14" t="s">
        <v>156</v>
      </c>
      <c r="AC7" s="14" t="s">
        <v>155</v>
      </c>
      <c r="AD7" s="14" t="s">
        <v>157</v>
      </c>
      <c r="AE7" s="14" t="s">
        <v>154</v>
      </c>
      <c r="AF7" s="14" t="s">
        <v>166</v>
      </c>
      <c r="AG7" s="14" t="s">
        <v>49</v>
      </c>
      <c r="AH7" s="14" t="s">
        <v>47</v>
      </c>
      <c r="AI7" s="14" t="s">
        <v>48</v>
      </c>
      <c r="AJ7" s="14" t="s">
        <v>50</v>
      </c>
      <c r="AK7" s="14" t="s">
        <v>161</v>
      </c>
      <c r="AL7" s="14" t="s">
        <v>162</v>
      </c>
    </row>
    <row r="8" spans="2:38" ht="15" x14ac:dyDescent="0.25">
      <c r="B8" s="7" t="s">
        <v>97</v>
      </c>
      <c r="J8" s="11" t="s">
        <v>62</v>
      </c>
      <c r="M8" s="7" t="s">
        <v>176</v>
      </c>
      <c r="AA8" s="7" t="s">
        <v>96</v>
      </c>
      <c r="AF8" s="7" t="s">
        <v>186</v>
      </c>
    </row>
    <row r="9" spans="2:38" ht="15" x14ac:dyDescent="0.25">
      <c r="B9" s="7" t="s">
        <v>84</v>
      </c>
      <c r="J9" s="11" t="s">
        <v>61</v>
      </c>
      <c r="M9" s="7" t="s">
        <v>177</v>
      </c>
      <c r="AA9" s="7" t="s">
        <v>134</v>
      </c>
      <c r="AF9" s="7" t="s">
        <v>191</v>
      </c>
    </row>
    <row r="10" spans="2:38" ht="15" x14ac:dyDescent="0.25">
      <c r="B10" s="7" t="s">
        <v>72</v>
      </c>
      <c r="J10" s="11" t="s">
        <v>68</v>
      </c>
      <c r="M10" s="7" t="s">
        <v>180</v>
      </c>
      <c r="AA10" s="7" t="s">
        <v>133</v>
      </c>
      <c r="AF10" s="7" t="s">
        <v>190</v>
      </c>
    </row>
    <row r="11" spans="2:38" ht="15" x14ac:dyDescent="0.25">
      <c r="B11" s="11" t="s">
        <v>120</v>
      </c>
      <c r="J11" s="11" t="s">
        <v>64</v>
      </c>
      <c r="M11" s="7" t="s">
        <v>178</v>
      </c>
      <c r="AA11" s="7" t="s">
        <v>137</v>
      </c>
      <c r="AF11" s="7" t="s">
        <v>189</v>
      </c>
    </row>
    <row r="12" spans="2:38" ht="15" x14ac:dyDescent="0.25">
      <c r="B12" s="7" t="s">
        <v>73</v>
      </c>
      <c r="J12" s="11" t="s">
        <v>67</v>
      </c>
      <c r="M12" s="7" t="s">
        <v>183</v>
      </c>
      <c r="AA12" s="7" t="s">
        <v>141</v>
      </c>
      <c r="AF12" s="7" t="s">
        <v>188</v>
      </c>
    </row>
    <row r="13" spans="2:38" ht="15" x14ac:dyDescent="0.25">
      <c r="B13" s="7" t="s">
        <v>106</v>
      </c>
      <c r="J13" s="11" t="s">
        <v>63</v>
      </c>
      <c r="M13" s="7" t="s">
        <v>181</v>
      </c>
      <c r="AA13" s="7" t="s">
        <v>135</v>
      </c>
      <c r="AF13" s="7" t="s">
        <v>187</v>
      </c>
    </row>
    <row r="14" spans="2:38" ht="15" x14ac:dyDescent="0.25">
      <c r="B14" s="13" t="s">
        <v>119</v>
      </c>
      <c r="J14" s="11" t="s">
        <v>65</v>
      </c>
      <c r="M14" s="7" t="s">
        <v>182</v>
      </c>
      <c r="AA14" s="7" t="s">
        <v>140</v>
      </c>
      <c r="AF14" s="7" t="s">
        <v>185</v>
      </c>
    </row>
    <row r="15" spans="2:38" x14ac:dyDescent="0.3">
      <c r="B15" s="7" t="s">
        <v>96</v>
      </c>
      <c r="J15" s="11" t="s">
        <v>69</v>
      </c>
      <c r="M15" s="7" t="s">
        <v>179</v>
      </c>
      <c r="AA15" s="7" t="s">
        <v>136</v>
      </c>
    </row>
    <row r="16" spans="2:38" x14ac:dyDescent="0.3">
      <c r="B16" s="7" t="s">
        <v>107</v>
      </c>
      <c r="J16" s="11" t="s">
        <v>66</v>
      </c>
      <c r="M16" s="7" t="s">
        <v>175</v>
      </c>
      <c r="AA16" s="7" t="s">
        <v>139</v>
      </c>
    </row>
    <row r="17" spans="2:27" x14ac:dyDescent="0.3">
      <c r="B17" s="7" t="s">
        <v>85</v>
      </c>
      <c r="J17" s="11" t="s">
        <v>60</v>
      </c>
      <c r="AA17" s="7" t="s">
        <v>138</v>
      </c>
    </row>
    <row r="18" spans="2:27" x14ac:dyDescent="0.3">
      <c r="B18" s="7" t="s">
        <v>87</v>
      </c>
      <c r="AA18" s="7" t="s">
        <v>132</v>
      </c>
    </row>
    <row r="19" spans="2:27" x14ac:dyDescent="0.3">
      <c r="B19" s="7" t="s">
        <v>91</v>
      </c>
    </row>
    <row r="20" spans="2:27" x14ac:dyDescent="0.3">
      <c r="B20" s="7" t="s">
        <v>89</v>
      </c>
    </row>
    <row r="21" spans="2:27" x14ac:dyDescent="0.3">
      <c r="B21" s="7" t="s">
        <v>116</v>
      </c>
    </row>
    <row r="22" spans="2:27" x14ac:dyDescent="0.3">
      <c r="B22" s="11" t="s">
        <v>130</v>
      </c>
    </row>
    <row r="23" spans="2:27" x14ac:dyDescent="0.3">
      <c r="B23" s="7" t="s">
        <v>98</v>
      </c>
    </row>
    <row r="24" spans="2:27" x14ac:dyDescent="0.3">
      <c r="B24" s="7" t="s">
        <v>104</v>
      </c>
    </row>
    <row r="25" spans="2:27" x14ac:dyDescent="0.3">
      <c r="B25" s="7" t="s">
        <v>115</v>
      </c>
    </row>
    <row r="26" spans="2:27" x14ac:dyDescent="0.3">
      <c r="B26" s="11" t="s">
        <v>127</v>
      </c>
    </row>
    <row r="27" spans="2:27" x14ac:dyDescent="0.3">
      <c r="B27" s="11" t="s">
        <v>128</v>
      </c>
    </row>
    <row r="28" spans="2:27" x14ac:dyDescent="0.3">
      <c r="B28" s="11" t="s">
        <v>126</v>
      </c>
    </row>
    <row r="29" spans="2:27" x14ac:dyDescent="0.3">
      <c r="B29" s="7" t="s">
        <v>113</v>
      </c>
    </row>
    <row r="30" spans="2:27" x14ac:dyDescent="0.3">
      <c r="B30" s="7" t="s">
        <v>99</v>
      </c>
    </row>
    <row r="31" spans="2:27" x14ac:dyDescent="0.3">
      <c r="B31" s="7" t="s">
        <v>94</v>
      </c>
    </row>
    <row r="32" spans="2:27" x14ac:dyDescent="0.3">
      <c r="B32" s="7" t="s">
        <v>90</v>
      </c>
    </row>
    <row r="33" spans="2:2" x14ac:dyDescent="0.3">
      <c r="B33" s="11" t="s">
        <v>125</v>
      </c>
    </row>
    <row r="34" spans="2:2" x14ac:dyDescent="0.3">
      <c r="B34" s="7" t="s">
        <v>92</v>
      </c>
    </row>
    <row r="35" spans="2:2" x14ac:dyDescent="0.3">
      <c r="B35" s="7" t="s">
        <v>75</v>
      </c>
    </row>
    <row r="36" spans="2:2" x14ac:dyDescent="0.3">
      <c r="B36" s="7" t="s">
        <v>114</v>
      </c>
    </row>
    <row r="37" spans="2:2" x14ac:dyDescent="0.3">
      <c r="B37" s="7" t="s">
        <v>82</v>
      </c>
    </row>
    <row r="38" spans="2:2" x14ac:dyDescent="0.3">
      <c r="B38" s="7" t="s">
        <v>93</v>
      </c>
    </row>
    <row r="39" spans="2:2" x14ac:dyDescent="0.3">
      <c r="B39" s="7" t="s">
        <v>108</v>
      </c>
    </row>
    <row r="40" spans="2:2" x14ac:dyDescent="0.3">
      <c r="B40" s="7" t="s">
        <v>100</v>
      </c>
    </row>
    <row r="41" spans="2:2" x14ac:dyDescent="0.3">
      <c r="B41" s="7" t="s">
        <v>74</v>
      </c>
    </row>
    <row r="42" spans="2:2" x14ac:dyDescent="0.3">
      <c r="B42" s="7" t="s">
        <v>111</v>
      </c>
    </row>
    <row r="43" spans="2:2" x14ac:dyDescent="0.3">
      <c r="B43" s="7" t="s">
        <v>76</v>
      </c>
    </row>
    <row r="44" spans="2:2" x14ac:dyDescent="0.3">
      <c r="B44" s="11" t="s">
        <v>129</v>
      </c>
    </row>
    <row r="45" spans="2:2" x14ac:dyDescent="0.3">
      <c r="B45" s="7" t="s">
        <v>102</v>
      </c>
    </row>
    <row r="46" spans="2:2" x14ac:dyDescent="0.3">
      <c r="B46" s="7" t="s">
        <v>79</v>
      </c>
    </row>
    <row r="47" spans="2:2" x14ac:dyDescent="0.3">
      <c r="B47" s="7" t="s">
        <v>110</v>
      </c>
    </row>
    <row r="48" spans="2:2" x14ac:dyDescent="0.3">
      <c r="B48" s="7" t="s">
        <v>77</v>
      </c>
    </row>
    <row r="49" spans="2:2" x14ac:dyDescent="0.3">
      <c r="B49" s="7" t="s">
        <v>101</v>
      </c>
    </row>
    <row r="50" spans="2:2" x14ac:dyDescent="0.3">
      <c r="B50" s="7" t="s">
        <v>78</v>
      </c>
    </row>
    <row r="51" spans="2:2" x14ac:dyDescent="0.3">
      <c r="B51" s="7" t="s">
        <v>117</v>
      </c>
    </row>
    <row r="52" spans="2:2" x14ac:dyDescent="0.3">
      <c r="B52" s="7" t="s">
        <v>80</v>
      </c>
    </row>
    <row r="53" spans="2:2" x14ac:dyDescent="0.3">
      <c r="B53" s="7" t="s">
        <v>112</v>
      </c>
    </row>
    <row r="54" spans="2:2" x14ac:dyDescent="0.3">
      <c r="B54" s="7" t="s">
        <v>88</v>
      </c>
    </row>
    <row r="55" spans="2:2" x14ac:dyDescent="0.3">
      <c r="B55" s="7" t="s">
        <v>109</v>
      </c>
    </row>
    <row r="56" spans="2:2" x14ac:dyDescent="0.3">
      <c r="B56" s="7" t="s">
        <v>103</v>
      </c>
    </row>
    <row r="57" spans="2:2" x14ac:dyDescent="0.3">
      <c r="B57" s="7" t="s">
        <v>81</v>
      </c>
    </row>
    <row r="58" spans="2:2" x14ac:dyDescent="0.3">
      <c r="B58" s="7" t="s">
        <v>86</v>
      </c>
    </row>
    <row r="59" spans="2:2" x14ac:dyDescent="0.3">
      <c r="B59" s="11" t="s">
        <v>123</v>
      </c>
    </row>
    <row r="60" spans="2:2" x14ac:dyDescent="0.3">
      <c r="B60" s="11" t="s">
        <v>122</v>
      </c>
    </row>
    <row r="61" spans="2:2" x14ac:dyDescent="0.3">
      <c r="B61" s="11" t="s">
        <v>124</v>
      </c>
    </row>
    <row r="62" spans="2:2" x14ac:dyDescent="0.3">
      <c r="B62" s="11" t="s">
        <v>121</v>
      </c>
    </row>
    <row r="63" spans="2:2" x14ac:dyDescent="0.3">
      <c r="B63" s="7" t="s">
        <v>83</v>
      </c>
    </row>
    <row r="64" spans="2:2" x14ac:dyDescent="0.3">
      <c r="B64" s="7" t="s">
        <v>95</v>
      </c>
    </row>
    <row r="65" spans="2:10" x14ac:dyDescent="0.3">
      <c r="B65" s="11" t="s">
        <v>118</v>
      </c>
    </row>
    <row r="66" spans="2:10" x14ac:dyDescent="0.3">
      <c r="B66" s="7" t="s">
        <v>71</v>
      </c>
    </row>
    <row r="67" spans="2:10" x14ac:dyDescent="0.3">
      <c r="B67" s="7" t="s">
        <v>105</v>
      </c>
    </row>
    <row r="77" spans="2:10" x14ac:dyDescent="0.3">
      <c r="J77" t="s">
        <v>194</v>
      </c>
    </row>
    <row r="78" spans="2:10" x14ac:dyDescent="0.3">
      <c r="J78" s="16"/>
    </row>
    <row r="79" spans="2:10" x14ac:dyDescent="0.3">
      <c r="J79" t="s">
        <v>195</v>
      </c>
    </row>
    <row r="80" spans="2:10" x14ac:dyDescent="0.3">
      <c r="J80" s="16"/>
    </row>
  </sheetData>
  <dataValidations count="3">
    <dataValidation type="list" allowBlank="1" showInputMessage="1" showErrorMessage="1" sqref="J78">
      <formula1>$B$7:$AL$7</formula1>
    </dataValidation>
    <dataValidation type="list" allowBlank="1" showInputMessage="1" showErrorMessage="1" sqref="J81:J85">
      <formula1>INDIRECT($J$78)</formula1>
    </dataValidation>
    <dataValidation type="list" allowBlank="1" showInputMessage="1" showErrorMessage="1" sqref="J80">
      <formula1>INDIRECT(B7)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H2:L28"/>
  <sheetViews>
    <sheetView workbookViewId="0">
      <selection activeCell="H4" sqref="H4"/>
    </sheetView>
  </sheetViews>
  <sheetFormatPr defaultRowHeight="14.4" x14ac:dyDescent="0.3"/>
  <cols>
    <col min="8" max="8" width="17.33203125" customWidth="1"/>
    <col min="11" max="11" width="21.109375" customWidth="1"/>
  </cols>
  <sheetData>
    <row r="2" spans="8:12" x14ac:dyDescent="0.3">
      <c r="H2" s="227"/>
      <c r="I2" s="227"/>
      <c r="J2" s="227"/>
      <c r="K2" s="227"/>
      <c r="L2" s="227"/>
    </row>
    <row r="3" spans="8:12" x14ac:dyDescent="0.3">
      <c r="H3" s="227"/>
      <c r="I3" s="227"/>
      <c r="J3" s="227"/>
      <c r="K3" s="227"/>
      <c r="L3" s="227"/>
    </row>
    <row r="4" spans="8:12" x14ac:dyDescent="0.25">
      <c r="H4" s="227" t="s">
        <v>27</v>
      </c>
      <c r="I4" s="227"/>
      <c r="J4" s="227"/>
      <c r="K4" s="227" t="s">
        <v>385</v>
      </c>
      <c r="L4" s="227"/>
    </row>
    <row r="5" spans="8:12" x14ac:dyDescent="0.25">
      <c r="H5" s="227" t="s">
        <v>28</v>
      </c>
      <c r="I5" s="227"/>
      <c r="J5" s="227"/>
      <c r="K5" s="227" t="s">
        <v>386</v>
      </c>
      <c r="L5" s="227"/>
    </row>
    <row r="6" spans="8:12" x14ac:dyDescent="0.25">
      <c r="H6" s="227" t="s">
        <v>29</v>
      </c>
      <c r="I6" s="227"/>
      <c r="J6" s="227"/>
      <c r="K6" s="227" t="s">
        <v>387</v>
      </c>
      <c r="L6" s="227"/>
    </row>
    <row r="7" spans="8:12" x14ac:dyDescent="0.25">
      <c r="H7" s="227" t="s">
        <v>30</v>
      </c>
      <c r="I7" s="227"/>
      <c r="J7" s="227"/>
      <c r="K7" s="227" t="s">
        <v>388</v>
      </c>
      <c r="L7" s="227"/>
    </row>
    <row r="8" spans="8:12" x14ac:dyDescent="0.25">
      <c r="H8" s="227" t="s">
        <v>377</v>
      </c>
      <c r="I8" s="227"/>
      <c r="J8" s="227"/>
      <c r="K8" s="227" t="s">
        <v>389</v>
      </c>
      <c r="L8" s="227"/>
    </row>
    <row r="9" spans="8:12" x14ac:dyDescent="0.25">
      <c r="H9" s="227" t="s">
        <v>378</v>
      </c>
      <c r="I9" s="227"/>
      <c r="J9" s="227"/>
      <c r="K9" s="227" t="s">
        <v>390</v>
      </c>
      <c r="L9" s="227"/>
    </row>
    <row r="10" spans="8:12" x14ac:dyDescent="0.25">
      <c r="H10" s="227" t="s">
        <v>379</v>
      </c>
      <c r="I10" s="227"/>
      <c r="J10" s="227"/>
      <c r="K10" s="227" t="s">
        <v>391</v>
      </c>
      <c r="L10" s="227"/>
    </row>
    <row r="11" spans="8:12" x14ac:dyDescent="0.25">
      <c r="H11" s="227" t="s">
        <v>380</v>
      </c>
      <c r="I11" s="227"/>
      <c r="J11" s="227"/>
      <c r="K11" s="227" t="s">
        <v>1176</v>
      </c>
      <c r="L11" s="227"/>
    </row>
    <row r="12" spans="8:12" x14ac:dyDescent="0.25">
      <c r="H12" s="227" t="s">
        <v>381</v>
      </c>
      <c r="I12" s="227"/>
      <c r="J12" s="227"/>
      <c r="K12" s="227" t="s">
        <v>1177</v>
      </c>
      <c r="L12" s="227"/>
    </row>
    <row r="13" spans="8:12" x14ac:dyDescent="0.25">
      <c r="H13" s="227" t="s">
        <v>382</v>
      </c>
      <c r="I13" s="227"/>
      <c r="J13" s="227"/>
      <c r="K13" s="227"/>
      <c r="L13" s="227"/>
    </row>
    <row r="14" spans="8:12" x14ac:dyDescent="0.25">
      <c r="H14" s="227" t="s">
        <v>383</v>
      </c>
      <c r="I14" s="227"/>
      <c r="J14" s="227"/>
      <c r="K14" s="227"/>
      <c r="L14" s="227"/>
    </row>
    <row r="15" spans="8:12" x14ac:dyDescent="0.25">
      <c r="H15" s="227" t="s">
        <v>384</v>
      </c>
      <c r="I15" s="227"/>
      <c r="J15" s="227"/>
      <c r="K15" s="227"/>
      <c r="L15" s="227"/>
    </row>
    <row r="16" spans="8:12" x14ac:dyDescent="0.3">
      <c r="H16" s="227" t="s">
        <v>1175</v>
      </c>
      <c r="I16" s="227"/>
      <c r="J16" s="227"/>
      <c r="K16" s="227"/>
      <c r="L16" s="227"/>
    </row>
    <row r="17" spans="8:12" x14ac:dyDescent="0.3">
      <c r="H17" s="227"/>
      <c r="I17" s="227"/>
      <c r="J17" s="227"/>
      <c r="K17" s="227"/>
      <c r="L17" s="227"/>
    </row>
    <row r="18" spans="8:12" x14ac:dyDescent="0.3">
      <c r="H18" s="227"/>
      <c r="I18" s="227"/>
      <c r="J18" s="227"/>
      <c r="K18" s="227"/>
      <c r="L18" s="227"/>
    </row>
    <row r="19" spans="8:12" x14ac:dyDescent="0.3">
      <c r="H19" s="227"/>
      <c r="I19" s="227"/>
      <c r="J19" s="227"/>
      <c r="K19" s="227"/>
      <c r="L19" s="227"/>
    </row>
    <row r="20" spans="8:12" x14ac:dyDescent="0.3">
      <c r="H20" s="227"/>
      <c r="I20" s="227"/>
      <c r="J20" s="227"/>
      <c r="K20" s="227"/>
      <c r="L20" s="227"/>
    </row>
    <row r="21" spans="8:12" x14ac:dyDescent="0.3">
      <c r="H21" s="227"/>
      <c r="I21" s="227"/>
      <c r="J21" s="227"/>
      <c r="K21" s="227"/>
      <c r="L21" s="227"/>
    </row>
    <row r="22" spans="8:12" x14ac:dyDescent="0.3">
      <c r="H22" s="227"/>
      <c r="I22" s="227"/>
      <c r="J22" s="227"/>
      <c r="K22" s="227"/>
      <c r="L22" s="227"/>
    </row>
    <row r="23" spans="8:12" x14ac:dyDescent="0.3">
      <c r="H23" s="227"/>
      <c r="I23" s="227"/>
      <c r="J23" s="227"/>
      <c r="K23" s="227"/>
      <c r="L23" s="227"/>
    </row>
    <row r="24" spans="8:12" x14ac:dyDescent="0.3">
      <c r="H24" s="227"/>
      <c r="I24" s="227"/>
      <c r="J24" s="227"/>
      <c r="K24" s="227"/>
      <c r="L24" s="227"/>
    </row>
    <row r="25" spans="8:12" x14ac:dyDescent="0.3">
      <c r="H25" s="227"/>
      <c r="I25" s="227"/>
      <c r="J25" s="227"/>
      <c r="K25" s="227"/>
      <c r="L25" s="227"/>
    </row>
    <row r="26" spans="8:12" x14ac:dyDescent="0.3">
      <c r="H26" s="227"/>
      <c r="I26" s="227"/>
      <c r="J26" s="227"/>
      <c r="K26" s="227"/>
      <c r="L26" s="227"/>
    </row>
    <row r="27" spans="8:12" x14ac:dyDescent="0.3">
      <c r="H27" s="227"/>
      <c r="I27" s="227"/>
      <c r="J27" s="227"/>
      <c r="K27" s="227"/>
      <c r="L27" s="227"/>
    </row>
    <row r="28" spans="8:12" x14ac:dyDescent="0.3">
      <c r="H28" s="227"/>
      <c r="I28" s="227"/>
      <c r="J28" s="227"/>
      <c r="K28" s="227"/>
      <c r="L28" s="2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C2D28"/>
  </sheetPr>
  <dimension ref="A1:Z528"/>
  <sheetViews>
    <sheetView showRowColHeaders="0" workbookViewId="0">
      <selection activeCell="C6" sqref="C6:D6"/>
    </sheetView>
  </sheetViews>
  <sheetFormatPr defaultRowHeight="14.4" x14ac:dyDescent="0.3"/>
  <cols>
    <col min="3" max="3" width="9.109375" style="136" customWidth="1"/>
    <col min="4" max="21" width="9.109375" style="136"/>
  </cols>
  <sheetData>
    <row r="1" spans="1:26" x14ac:dyDescent="0.3">
      <c r="A1" s="4"/>
      <c r="B1" s="4"/>
      <c r="C1" s="168"/>
      <c r="D1" s="168"/>
      <c r="E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4"/>
      <c r="W1" s="4"/>
      <c r="X1" s="4"/>
      <c r="Y1" s="4"/>
      <c r="Z1" s="4"/>
    </row>
    <row r="2" spans="1:26" s="139" customFormat="1" ht="14.4" customHeight="1" x14ac:dyDescent="0.3">
      <c r="A2" s="169"/>
      <c r="B2" s="169"/>
      <c r="C2" s="34"/>
      <c r="D2" s="350" t="s">
        <v>451</v>
      </c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350"/>
      <c r="T2" s="350"/>
      <c r="U2" s="350"/>
      <c r="V2" s="350"/>
      <c r="W2" s="169"/>
      <c r="X2" s="169"/>
      <c r="Y2" s="169"/>
      <c r="Z2" s="169"/>
    </row>
    <row r="3" spans="1:26" s="139" customFormat="1" ht="14.4" customHeight="1" x14ac:dyDescent="0.3">
      <c r="A3" s="169"/>
      <c r="B3" s="169"/>
      <c r="C3" s="34"/>
      <c r="D3" s="350"/>
      <c r="E3" s="350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169"/>
      <c r="X3" s="169"/>
      <c r="Y3" s="169"/>
      <c r="Z3" s="169"/>
    </row>
    <row r="4" spans="1:26" s="139" customFormat="1" ht="15" thickBot="1" x14ac:dyDescent="0.35">
      <c r="A4" s="169"/>
      <c r="B4" s="169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169"/>
      <c r="W4" s="169"/>
      <c r="X4" s="169"/>
      <c r="Y4" s="169"/>
      <c r="Z4" s="169"/>
    </row>
    <row r="5" spans="1:26" s="139" customFormat="1" ht="15.75" thickBot="1" x14ac:dyDescent="0.3">
      <c r="A5" s="169"/>
      <c r="B5" s="169"/>
      <c r="C5" s="352" t="s">
        <v>449</v>
      </c>
      <c r="D5" s="352"/>
      <c r="E5" s="10"/>
      <c r="F5" s="352" t="s">
        <v>449</v>
      </c>
      <c r="G5" s="352"/>
      <c r="H5" s="34"/>
      <c r="I5" s="352" t="s">
        <v>449</v>
      </c>
      <c r="J5" s="352"/>
      <c r="K5" s="34"/>
      <c r="L5" s="352" t="s">
        <v>449</v>
      </c>
      <c r="M5" s="352"/>
      <c r="N5" s="34"/>
      <c r="O5" s="352" t="s">
        <v>449</v>
      </c>
      <c r="P5" s="352"/>
      <c r="Q5" s="34"/>
      <c r="R5" s="352" t="s">
        <v>449</v>
      </c>
      <c r="S5" s="352"/>
      <c r="T5" s="34"/>
      <c r="U5" s="352" t="s">
        <v>449</v>
      </c>
      <c r="V5" s="352"/>
      <c r="W5" s="169"/>
      <c r="X5" s="352" t="s">
        <v>449</v>
      </c>
      <c r="Y5" s="352"/>
    </row>
    <row r="6" spans="1:26" s="139" customFormat="1" ht="15.75" thickBot="1" x14ac:dyDescent="0.3">
      <c r="A6" s="169"/>
      <c r="B6" s="169"/>
      <c r="C6" s="351"/>
      <c r="D6" s="351"/>
      <c r="E6" s="34"/>
      <c r="F6" s="351"/>
      <c r="G6" s="351"/>
      <c r="H6" s="34"/>
      <c r="I6" s="351"/>
      <c r="J6" s="351"/>
      <c r="K6" s="34"/>
      <c r="L6" s="351"/>
      <c r="M6" s="351"/>
      <c r="N6" s="34"/>
      <c r="O6" s="351"/>
      <c r="P6" s="351"/>
      <c r="Q6" s="34"/>
      <c r="R6" s="351"/>
      <c r="S6" s="351"/>
      <c r="T6" s="34"/>
      <c r="U6" s="351"/>
      <c r="V6" s="351"/>
      <c r="W6" s="169"/>
      <c r="X6" s="353"/>
      <c r="Y6" s="353"/>
    </row>
    <row r="7" spans="1:26" s="139" customFormat="1" ht="15" thickBot="1" x14ac:dyDescent="0.35">
      <c r="A7" s="169"/>
      <c r="B7" s="169"/>
      <c r="C7" s="143" t="s">
        <v>247</v>
      </c>
      <c r="D7" s="144" t="s">
        <v>450</v>
      </c>
      <c r="E7" s="34"/>
      <c r="F7" s="143" t="s">
        <v>247</v>
      </c>
      <c r="G7" s="144" t="s">
        <v>450</v>
      </c>
      <c r="H7" s="34"/>
      <c r="I7" s="143" t="s">
        <v>247</v>
      </c>
      <c r="J7" s="144" t="s">
        <v>450</v>
      </c>
      <c r="K7" s="34"/>
      <c r="L7" s="143" t="s">
        <v>247</v>
      </c>
      <c r="M7" s="144" t="s">
        <v>450</v>
      </c>
      <c r="N7" s="34"/>
      <c r="O7" s="143" t="s">
        <v>247</v>
      </c>
      <c r="P7" s="144" t="s">
        <v>450</v>
      </c>
      <c r="Q7" s="34"/>
      <c r="R7" s="143" t="s">
        <v>247</v>
      </c>
      <c r="S7" s="144" t="s">
        <v>450</v>
      </c>
      <c r="T7" s="34"/>
      <c r="U7" s="143" t="s">
        <v>247</v>
      </c>
      <c r="V7" s="144" t="s">
        <v>450</v>
      </c>
      <c r="W7" s="169"/>
      <c r="X7" s="143" t="s">
        <v>247</v>
      </c>
      <c r="Y7" s="144" t="s">
        <v>450</v>
      </c>
    </row>
    <row r="8" spans="1:26" ht="15" x14ac:dyDescent="0.25">
      <c r="A8" s="4"/>
      <c r="B8" s="4"/>
      <c r="C8" s="176"/>
      <c r="D8" s="177"/>
      <c r="E8" s="168"/>
      <c r="F8" s="176"/>
      <c r="G8" s="177"/>
      <c r="H8" s="168"/>
      <c r="I8" s="176"/>
      <c r="J8" s="177"/>
      <c r="K8" s="168"/>
      <c r="L8" s="176"/>
      <c r="M8" s="177"/>
      <c r="N8" s="168"/>
      <c r="O8" s="176"/>
      <c r="P8" s="177"/>
      <c r="Q8" s="168"/>
      <c r="R8" s="176"/>
      <c r="S8" s="177"/>
      <c r="T8" s="168"/>
      <c r="U8" s="176"/>
      <c r="V8" s="177"/>
      <c r="W8" s="4"/>
      <c r="X8" s="140"/>
      <c r="Y8" s="142"/>
    </row>
    <row r="9" spans="1:26" ht="15" x14ac:dyDescent="0.25">
      <c r="A9" s="4"/>
      <c r="B9" s="4"/>
      <c r="C9" s="178"/>
      <c r="D9" s="177"/>
      <c r="E9" s="168"/>
      <c r="F9" s="178"/>
      <c r="G9" s="177"/>
      <c r="H9" s="168"/>
      <c r="I9" s="178"/>
      <c r="J9" s="177"/>
      <c r="K9" s="168"/>
      <c r="L9" s="178"/>
      <c r="M9" s="177"/>
      <c r="N9" s="168"/>
      <c r="O9" s="178"/>
      <c r="P9" s="177"/>
      <c r="Q9" s="168"/>
      <c r="R9" s="178"/>
      <c r="S9" s="177"/>
      <c r="T9" s="168"/>
      <c r="U9" s="178"/>
      <c r="V9" s="177"/>
      <c r="W9" s="4"/>
      <c r="X9" s="141"/>
      <c r="Y9" s="142"/>
    </row>
    <row r="10" spans="1:26" ht="15" x14ac:dyDescent="0.25">
      <c r="A10" s="4"/>
      <c r="B10" s="4"/>
      <c r="C10" s="178"/>
      <c r="D10" s="177"/>
      <c r="E10" s="168"/>
      <c r="F10" s="178"/>
      <c r="G10" s="177"/>
      <c r="H10" s="168"/>
      <c r="I10" s="178"/>
      <c r="J10" s="177"/>
      <c r="K10" s="168"/>
      <c r="L10" s="178"/>
      <c r="M10" s="177"/>
      <c r="N10" s="168"/>
      <c r="O10" s="178"/>
      <c r="P10" s="177"/>
      <c r="Q10" s="168"/>
      <c r="R10" s="178"/>
      <c r="S10" s="177"/>
      <c r="T10" s="168"/>
      <c r="U10" s="178"/>
      <c r="V10" s="177"/>
      <c r="W10" s="4"/>
      <c r="X10" s="141"/>
      <c r="Y10" s="142"/>
    </row>
    <row r="11" spans="1:26" ht="15" x14ac:dyDescent="0.25">
      <c r="A11" s="4"/>
      <c r="B11" s="4"/>
      <c r="C11" s="178"/>
      <c r="D11" s="177"/>
      <c r="E11" s="168"/>
      <c r="F11" s="178"/>
      <c r="G11" s="177"/>
      <c r="H11" s="168"/>
      <c r="I11" s="178"/>
      <c r="J11" s="177"/>
      <c r="K11" s="168"/>
      <c r="L11" s="178"/>
      <c r="M11" s="177"/>
      <c r="N11" s="168"/>
      <c r="O11" s="178"/>
      <c r="P11" s="177"/>
      <c r="Q11" s="168"/>
      <c r="R11" s="178"/>
      <c r="S11" s="177"/>
      <c r="T11" s="168"/>
      <c r="U11" s="178"/>
      <c r="V11" s="177"/>
      <c r="W11" s="4"/>
      <c r="X11" s="141"/>
      <c r="Y11" s="142"/>
    </row>
    <row r="12" spans="1:26" ht="15" x14ac:dyDescent="0.25">
      <c r="A12" s="4"/>
      <c r="B12" s="4"/>
      <c r="C12" s="178"/>
      <c r="D12" s="177"/>
      <c r="E12" s="168"/>
      <c r="F12" s="178"/>
      <c r="G12" s="177"/>
      <c r="H12" s="168"/>
      <c r="I12" s="178"/>
      <c r="J12" s="177"/>
      <c r="K12" s="168"/>
      <c r="L12" s="178"/>
      <c r="M12" s="177"/>
      <c r="N12" s="168"/>
      <c r="O12" s="178"/>
      <c r="P12" s="177"/>
      <c r="Q12" s="168"/>
      <c r="R12" s="178"/>
      <c r="S12" s="177"/>
      <c r="T12" s="168"/>
      <c r="U12" s="178"/>
      <c r="V12" s="177"/>
      <c r="W12" s="4"/>
      <c r="X12" s="141"/>
      <c r="Y12" s="142"/>
    </row>
    <row r="13" spans="1:26" ht="15" x14ac:dyDescent="0.25">
      <c r="A13" s="4"/>
      <c r="B13" s="4"/>
      <c r="C13" s="178"/>
      <c r="D13" s="177"/>
      <c r="E13" s="168"/>
      <c r="F13" s="178"/>
      <c r="G13" s="177"/>
      <c r="H13" s="168"/>
      <c r="I13" s="178"/>
      <c r="J13" s="177"/>
      <c r="K13" s="168"/>
      <c r="L13" s="178"/>
      <c r="M13" s="177"/>
      <c r="N13" s="168"/>
      <c r="O13" s="178"/>
      <c r="P13" s="177"/>
      <c r="Q13" s="168"/>
      <c r="R13" s="178"/>
      <c r="S13" s="177"/>
      <c r="T13" s="168"/>
      <c r="U13" s="178"/>
      <c r="V13" s="177"/>
      <c r="W13" s="4"/>
      <c r="X13" s="141"/>
      <c r="Y13" s="142"/>
    </row>
    <row r="14" spans="1:26" ht="15" x14ac:dyDescent="0.25">
      <c r="A14" s="4"/>
      <c r="B14" s="4"/>
      <c r="C14" s="178"/>
      <c r="D14" s="177"/>
      <c r="E14" s="168"/>
      <c r="F14" s="178"/>
      <c r="G14" s="177"/>
      <c r="H14" s="168"/>
      <c r="I14" s="178"/>
      <c r="J14" s="177"/>
      <c r="K14" s="168"/>
      <c r="L14" s="178"/>
      <c r="M14" s="177"/>
      <c r="N14" s="168"/>
      <c r="O14" s="178"/>
      <c r="P14" s="177"/>
      <c r="Q14" s="168"/>
      <c r="R14" s="178"/>
      <c r="S14" s="177"/>
      <c r="T14" s="168"/>
      <c r="U14" s="178"/>
      <c r="V14" s="177"/>
      <c r="W14" s="4"/>
      <c r="X14" s="141"/>
      <c r="Y14" s="142"/>
    </row>
    <row r="15" spans="1:26" ht="15" x14ac:dyDescent="0.25">
      <c r="A15" s="4"/>
      <c r="B15" s="4"/>
      <c r="C15" s="178"/>
      <c r="D15" s="177"/>
      <c r="E15" s="168"/>
      <c r="F15" s="178"/>
      <c r="G15" s="177"/>
      <c r="H15" s="168"/>
      <c r="I15" s="178"/>
      <c r="J15" s="177"/>
      <c r="K15" s="168"/>
      <c r="L15" s="178"/>
      <c r="M15" s="177"/>
      <c r="N15" s="168"/>
      <c r="O15" s="178"/>
      <c r="P15" s="177"/>
      <c r="Q15" s="168"/>
      <c r="R15" s="178"/>
      <c r="S15" s="177"/>
      <c r="T15" s="168"/>
      <c r="U15" s="178"/>
      <c r="V15" s="177"/>
      <c r="W15" s="4"/>
      <c r="X15" s="141"/>
      <c r="Y15" s="142"/>
    </row>
    <row r="16" spans="1:26" x14ac:dyDescent="0.3">
      <c r="A16" s="4"/>
      <c r="B16" s="4"/>
      <c r="C16" s="178"/>
      <c r="D16" s="177"/>
      <c r="E16" s="168"/>
      <c r="F16" s="178"/>
      <c r="G16" s="177"/>
      <c r="H16" s="168"/>
      <c r="I16" s="178"/>
      <c r="J16" s="177"/>
      <c r="K16" s="168"/>
      <c r="L16" s="178"/>
      <c r="M16" s="177"/>
      <c r="N16" s="168"/>
      <c r="O16" s="178"/>
      <c r="P16" s="177"/>
      <c r="Q16" s="168"/>
      <c r="R16" s="178"/>
      <c r="S16" s="177"/>
      <c r="T16" s="168"/>
      <c r="U16" s="178"/>
      <c r="V16" s="177"/>
      <c r="W16" s="4"/>
      <c r="X16" s="141"/>
      <c r="Y16" s="142"/>
    </row>
    <row r="17" spans="1:25" x14ac:dyDescent="0.3">
      <c r="A17" s="4"/>
      <c r="B17" s="4"/>
      <c r="C17" s="178"/>
      <c r="D17" s="177"/>
      <c r="E17" s="168"/>
      <c r="F17" s="178"/>
      <c r="G17" s="177"/>
      <c r="H17" s="168"/>
      <c r="I17" s="178"/>
      <c r="J17" s="177"/>
      <c r="K17" s="168"/>
      <c r="L17" s="178"/>
      <c r="M17" s="177"/>
      <c r="N17" s="168"/>
      <c r="O17" s="178"/>
      <c r="P17" s="177"/>
      <c r="Q17" s="168"/>
      <c r="R17" s="178"/>
      <c r="S17" s="177"/>
      <c r="T17" s="168"/>
      <c r="U17" s="178"/>
      <c r="V17" s="177"/>
      <c r="W17" s="4"/>
      <c r="X17" s="141"/>
      <c r="Y17" s="142"/>
    </row>
    <row r="18" spans="1:25" x14ac:dyDescent="0.3">
      <c r="A18" s="4"/>
      <c r="B18" s="4"/>
      <c r="C18" s="178"/>
      <c r="D18" s="177"/>
      <c r="E18" s="168"/>
      <c r="F18" s="178"/>
      <c r="G18" s="177"/>
      <c r="H18" s="168"/>
      <c r="I18" s="178"/>
      <c r="J18" s="177"/>
      <c r="K18" s="168"/>
      <c r="L18" s="178"/>
      <c r="M18" s="177"/>
      <c r="N18" s="168"/>
      <c r="O18" s="178"/>
      <c r="P18" s="177"/>
      <c r="Q18" s="168"/>
      <c r="R18" s="178"/>
      <c r="S18" s="177"/>
      <c r="T18" s="168"/>
      <c r="U18" s="178"/>
      <c r="V18" s="177"/>
      <c r="W18" s="4"/>
      <c r="X18" s="141"/>
      <c r="Y18" s="142"/>
    </row>
    <row r="19" spans="1:25" x14ac:dyDescent="0.3">
      <c r="A19" s="4"/>
      <c r="B19" s="4"/>
      <c r="C19" s="178"/>
      <c r="D19" s="177"/>
      <c r="E19" s="168"/>
      <c r="F19" s="178"/>
      <c r="G19" s="177"/>
      <c r="H19" s="168"/>
      <c r="I19" s="178"/>
      <c r="J19" s="177"/>
      <c r="K19" s="168"/>
      <c r="L19" s="178"/>
      <c r="M19" s="177"/>
      <c r="N19" s="168"/>
      <c r="O19" s="178"/>
      <c r="P19" s="177"/>
      <c r="Q19" s="168"/>
      <c r="R19" s="178"/>
      <c r="S19" s="177"/>
      <c r="T19" s="168"/>
      <c r="U19" s="178"/>
      <c r="V19" s="177"/>
      <c r="W19" s="4"/>
      <c r="X19" s="141"/>
      <c r="Y19" s="142"/>
    </row>
    <row r="20" spans="1:25" x14ac:dyDescent="0.3">
      <c r="A20" s="4"/>
      <c r="B20" s="4"/>
      <c r="C20" s="178"/>
      <c r="D20" s="177"/>
      <c r="E20" s="168"/>
      <c r="F20" s="178"/>
      <c r="G20" s="177"/>
      <c r="H20" s="168"/>
      <c r="I20" s="178"/>
      <c r="J20" s="177"/>
      <c r="K20" s="168"/>
      <c r="L20" s="178"/>
      <c r="M20" s="177"/>
      <c r="N20" s="168"/>
      <c r="O20" s="178"/>
      <c r="P20" s="177"/>
      <c r="Q20" s="168"/>
      <c r="R20" s="178"/>
      <c r="S20" s="177"/>
      <c r="T20" s="168"/>
      <c r="U20" s="178"/>
      <c r="V20" s="177"/>
      <c r="W20" s="4"/>
      <c r="X20" s="141"/>
      <c r="Y20" s="142"/>
    </row>
    <row r="21" spans="1:25" x14ac:dyDescent="0.3">
      <c r="A21" s="4"/>
      <c r="B21" s="4"/>
      <c r="C21" s="178"/>
      <c r="D21" s="177"/>
      <c r="E21" s="168"/>
      <c r="F21" s="178"/>
      <c r="G21" s="177"/>
      <c r="H21" s="168"/>
      <c r="I21" s="178"/>
      <c r="J21" s="177"/>
      <c r="K21" s="168"/>
      <c r="L21" s="178"/>
      <c r="M21" s="177"/>
      <c r="N21" s="168"/>
      <c r="O21" s="178"/>
      <c r="P21" s="177"/>
      <c r="Q21" s="168"/>
      <c r="R21" s="178"/>
      <c r="S21" s="177"/>
      <c r="T21" s="168"/>
      <c r="U21" s="178"/>
      <c r="V21" s="177"/>
      <c r="W21" s="4"/>
      <c r="X21" s="141"/>
      <c r="Y21" s="142"/>
    </row>
    <row r="22" spans="1:25" x14ac:dyDescent="0.3">
      <c r="A22" s="4"/>
      <c r="B22" s="4"/>
      <c r="C22" s="178"/>
      <c r="D22" s="177"/>
      <c r="E22" s="168"/>
      <c r="F22" s="178"/>
      <c r="G22" s="177"/>
      <c r="H22" s="168"/>
      <c r="I22" s="178"/>
      <c r="J22" s="177"/>
      <c r="K22" s="168"/>
      <c r="L22" s="178"/>
      <c r="M22" s="177"/>
      <c r="N22" s="168"/>
      <c r="O22" s="178"/>
      <c r="P22" s="177"/>
      <c r="Q22" s="168"/>
      <c r="R22" s="178"/>
      <c r="S22" s="177"/>
      <c r="T22" s="168"/>
      <c r="U22" s="178"/>
      <c r="V22" s="177"/>
      <c r="W22" s="4"/>
      <c r="X22" s="141"/>
      <c r="Y22" s="142"/>
    </row>
    <row r="23" spans="1:25" x14ac:dyDescent="0.3">
      <c r="A23" s="4"/>
      <c r="B23" s="4"/>
      <c r="C23" s="178"/>
      <c r="D23" s="177"/>
      <c r="E23" s="168"/>
      <c r="F23" s="178"/>
      <c r="G23" s="177"/>
      <c r="H23" s="168"/>
      <c r="I23" s="178"/>
      <c r="J23" s="177"/>
      <c r="K23" s="168"/>
      <c r="L23" s="178"/>
      <c r="M23" s="177"/>
      <c r="N23" s="168"/>
      <c r="O23" s="178"/>
      <c r="P23" s="177"/>
      <c r="Q23" s="168"/>
      <c r="R23" s="178"/>
      <c r="S23" s="177"/>
      <c r="T23" s="168"/>
      <c r="U23" s="178"/>
      <c r="V23" s="177"/>
      <c r="W23" s="4"/>
      <c r="X23" s="141"/>
      <c r="Y23" s="142"/>
    </row>
    <row r="24" spans="1:25" x14ac:dyDescent="0.3">
      <c r="A24" s="4"/>
      <c r="B24" s="4"/>
      <c r="C24" s="178"/>
      <c r="D24" s="177"/>
      <c r="E24" s="168"/>
      <c r="F24" s="178"/>
      <c r="G24" s="177"/>
      <c r="H24" s="168"/>
      <c r="I24" s="178"/>
      <c r="J24" s="177"/>
      <c r="K24" s="168"/>
      <c r="L24" s="178"/>
      <c r="M24" s="177"/>
      <c r="N24" s="168"/>
      <c r="O24" s="178"/>
      <c r="P24" s="177"/>
      <c r="Q24" s="168"/>
      <c r="R24" s="178"/>
      <c r="S24" s="177"/>
      <c r="T24" s="168"/>
      <c r="U24" s="178"/>
      <c r="V24" s="177"/>
      <c r="W24" s="4"/>
      <c r="X24" s="141"/>
      <c r="Y24" s="142"/>
    </row>
    <row r="25" spans="1:25" x14ac:dyDescent="0.3">
      <c r="A25" s="4"/>
      <c r="B25" s="4"/>
      <c r="C25" s="178"/>
      <c r="D25" s="177"/>
      <c r="E25" s="168"/>
      <c r="F25" s="178"/>
      <c r="G25" s="177"/>
      <c r="H25" s="168"/>
      <c r="I25" s="178"/>
      <c r="J25" s="177"/>
      <c r="K25" s="168"/>
      <c r="L25" s="178"/>
      <c r="M25" s="177"/>
      <c r="N25" s="168"/>
      <c r="O25" s="178"/>
      <c r="P25" s="177"/>
      <c r="Q25" s="168"/>
      <c r="R25" s="178"/>
      <c r="S25" s="177"/>
      <c r="T25" s="168"/>
      <c r="U25" s="178"/>
      <c r="V25" s="177"/>
      <c r="W25" s="4"/>
      <c r="X25" s="141"/>
      <c r="Y25" s="142"/>
    </row>
    <row r="26" spans="1:25" x14ac:dyDescent="0.3">
      <c r="A26" s="4"/>
      <c r="B26" s="4"/>
      <c r="C26" s="178"/>
      <c r="D26" s="177"/>
      <c r="E26" s="168"/>
      <c r="F26" s="178"/>
      <c r="G26" s="177"/>
      <c r="H26" s="168"/>
      <c r="I26" s="178"/>
      <c r="J26" s="177"/>
      <c r="K26" s="168"/>
      <c r="L26" s="178"/>
      <c r="M26" s="177"/>
      <c r="N26" s="168"/>
      <c r="O26" s="178"/>
      <c r="P26" s="177"/>
      <c r="Q26" s="168"/>
      <c r="R26" s="178"/>
      <c r="S26" s="177"/>
      <c r="T26" s="168"/>
      <c r="U26" s="178"/>
      <c r="V26" s="177"/>
      <c r="W26" s="4"/>
      <c r="X26" s="141"/>
      <c r="Y26" s="142"/>
    </row>
    <row r="27" spans="1:25" x14ac:dyDescent="0.3">
      <c r="A27" s="4"/>
      <c r="B27" s="4"/>
      <c r="C27" s="178"/>
      <c r="D27" s="177"/>
      <c r="E27" s="168"/>
      <c r="F27" s="178"/>
      <c r="G27" s="177"/>
      <c r="H27" s="168"/>
      <c r="I27" s="178"/>
      <c r="J27" s="177"/>
      <c r="K27" s="168"/>
      <c r="L27" s="178"/>
      <c r="M27" s="177"/>
      <c r="N27" s="168"/>
      <c r="O27" s="178"/>
      <c r="P27" s="177"/>
      <c r="Q27" s="168"/>
      <c r="R27" s="178"/>
      <c r="S27" s="177"/>
      <c r="T27" s="168"/>
      <c r="U27" s="178"/>
      <c r="V27" s="177"/>
      <c r="W27" s="4"/>
      <c r="X27" s="141"/>
      <c r="Y27" s="142"/>
    </row>
    <row r="28" spans="1:25" x14ac:dyDescent="0.3">
      <c r="A28" s="4"/>
      <c r="B28" s="4"/>
      <c r="C28" s="178"/>
      <c r="D28" s="177"/>
      <c r="E28" s="168"/>
      <c r="F28" s="178"/>
      <c r="G28" s="177"/>
      <c r="H28" s="168"/>
      <c r="I28" s="178"/>
      <c r="J28" s="177"/>
      <c r="K28" s="168"/>
      <c r="L28" s="178"/>
      <c r="M28" s="177"/>
      <c r="N28" s="168"/>
      <c r="O28" s="178"/>
      <c r="P28" s="177"/>
      <c r="Q28" s="168"/>
      <c r="R28" s="178"/>
      <c r="S28" s="177"/>
      <c r="T28" s="168"/>
      <c r="U28" s="178"/>
      <c r="V28" s="177"/>
      <c r="W28" s="4"/>
      <c r="X28" s="141"/>
      <c r="Y28" s="142"/>
    </row>
    <row r="29" spans="1:25" x14ac:dyDescent="0.3">
      <c r="A29" s="4"/>
      <c r="B29" s="4"/>
      <c r="C29" s="178"/>
      <c r="D29" s="177"/>
      <c r="E29" s="168"/>
      <c r="F29" s="178"/>
      <c r="G29" s="177"/>
      <c r="H29" s="168"/>
      <c r="I29" s="178"/>
      <c r="J29" s="177"/>
      <c r="K29" s="168"/>
      <c r="L29" s="178"/>
      <c r="M29" s="177"/>
      <c r="N29" s="168"/>
      <c r="O29" s="178"/>
      <c r="P29" s="177"/>
      <c r="Q29" s="168"/>
      <c r="R29" s="178"/>
      <c r="S29" s="177"/>
      <c r="T29" s="168"/>
      <c r="U29" s="178"/>
      <c r="V29" s="177"/>
      <c r="W29" s="4"/>
      <c r="X29" s="141"/>
      <c r="Y29" s="142"/>
    </row>
    <row r="30" spans="1:25" x14ac:dyDescent="0.3">
      <c r="A30" s="4"/>
      <c r="B30" s="4"/>
      <c r="C30" s="178"/>
      <c r="D30" s="177"/>
      <c r="E30" s="168"/>
      <c r="F30" s="178"/>
      <c r="G30" s="177"/>
      <c r="H30" s="168"/>
      <c r="I30" s="178"/>
      <c r="J30" s="177"/>
      <c r="K30" s="168"/>
      <c r="L30" s="178"/>
      <c r="M30" s="177"/>
      <c r="N30" s="168"/>
      <c r="O30" s="178"/>
      <c r="P30" s="177"/>
      <c r="Q30" s="168"/>
      <c r="R30" s="178"/>
      <c r="S30" s="177"/>
      <c r="T30" s="168"/>
      <c r="U30" s="178"/>
      <c r="V30" s="177"/>
      <c r="W30" s="4"/>
      <c r="X30" s="141"/>
      <c r="Y30" s="142"/>
    </row>
    <row r="31" spans="1:25" x14ac:dyDescent="0.3">
      <c r="A31" s="4"/>
      <c r="B31" s="4"/>
      <c r="C31" s="178"/>
      <c r="D31" s="177"/>
      <c r="E31" s="168"/>
      <c r="F31" s="178"/>
      <c r="G31" s="177"/>
      <c r="H31" s="168"/>
      <c r="I31" s="178"/>
      <c r="J31" s="177"/>
      <c r="K31" s="168"/>
      <c r="L31" s="178"/>
      <c r="M31" s="177"/>
      <c r="N31" s="168"/>
      <c r="O31" s="178"/>
      <c r="P31" s="177"/>
      <c r="Q31" s="168"/>
      <c r="R31" s="178"/>
      <c r="S31" s="177"/>
      <c r="T31" s="168"/>
      <c r="U31" s="178"/>
      <c r="V31" s="177"/>
      <c r="W31" s="4"/>
      <c r="X31" s="141"/>
      <c r="Y31" s="142"/>
    </row>
    <row r="32" spans="1:25" x14ac:dyDescent="0.3">
      <c r="A32" s="4"/>
      <c r="B32" s="4"/>
      <c r="C32" s="178"/>
      <c r="D32" s="177"/>
      <c r="E32" s="168"/>
      <c r="F32" s="178"/>
      <c r="G32" s="177"/>
      <c r="H32" s="168"/>
      <c r="I32" s="178"/>
      <c r="J32" s="177"/>
      <c r="K32" s="168"/>
      <c r="L32" s="178"/>
      <c r="M32" s="177"/>
      <c r="N32" s="168"/>
      <c r="O32" s="178"/>
      <c r="P32" s="177"/>
      <c r="Q32" s="168"/>
      <c r="R32" s="178"/>
      <c r="S32" s="177"/>
      <c r="T32" s="168"/>
      <c r="U32" s="178"/>
      <c r="V32" s="177"/>
      <c r="W32" s="4"/>
      <c r="X32" s="141"/>
      <c r="Y32" s="142"/>
    </row>
    <row r="33" spans="1:25" x14ac:dyDescent="0.3">
      <c r="A33" s="4"/>
      <c r="B33" s="4"/>
      <c r="C33" s="178"/>
      <c r="D33" s="177"/>
      <c r="E33" s="168"/>
      <c r="F33" s="178"/>
      <c r="G33" s="177"/>
      <c r="H33" s="168"/>
      <c r="I33" s="178"/>
      <c r="J33" s="177"/>
      <c r="K33" s="168"/>
      <c r="L33" s="178"/>
      <c r="M33" s="177"/>
      <c r="N33" s="168"/>
      <c r="O33" s="178"/>
      <c r="P33" s="177"/>
      <c r="Q33" s="168"/>
      <c r="R33" s="178"/>
      <c r="S33" s="177"/>
      <c r="T33" s="168"/>
      <c r="U33" s="178"/>
      <c r="V33" s="177"/>
      <c r="W33" s="4"/>
      <c r="X33" s="141"/>
      <c r="Y33" s="142"/>
    </row>
    <row r="34" spans="1:25" x14ac:dyDescent="0.3">
      <c r="A34" s="4"/>
      <c r="B34" s="4"/>
      <c r="C34" s="178"/>
      <c r="D34" s="177"/>
      <c r="E34" s="168"/>
      <c r="F34" s="178"/>
      <c r="G34" s="177"/>
      <c r="H34" s="168"/>
      <c r="I34" s="178"/>
      <c r="J34" s="177"/>
      <c r="K34" s="168"/>
      <c r="L34" s="178"/>
      <c r="M34" s="177"/>
      <c r="N34" s="168"/>
      <c r="O34" s="178"/>
      <c r="P34" s="177"/>
      <c r="Q34" s="168"/>
      <c r="R34" s="178"/>
      <c r="S34" s="177"/>
      <c r="T34" s="168"/>
      <c r="U34" s="178"/>
      <c r="V34" s="177"/>
      <c r="W34" s="4"/>
      <c r="X34" s="141"/>
      <c r="Y34" s="142"/>
    </row>
    <row r="35" spans="1:25" x14ac:dyDescent="0.3">
      <c r="A35" s="4"/>
      <c r="B35" s="4"/>
      <c r="C35" s="178"/>
      <c r="D35" s="177"/>
      <c r="E35" s="168"/>
      <c r="F35" s="178"/>
      <c r="G35" s="177"/>
      <c r="H35" s="168"/>
      <c r="I35" s="178"/>
      <c r="J35" s="177"/>
      <c r="K35" s="168"/>
      <c r="L35" s="178"/>
      <c r="M35" s="177"/>
      <c r="N35" s="168"/>
      <c r="O35" s="178"/>
      <c r="P35" s="177"/>
      <c r="Q35" s="168"/>
      <c r="R35" s="178"/>
      <c r="S35" s="177"/>
      <c r="T35" s="168"/>
      <c r="U35" s="178"/>
      <c r="V35" s="177"/>
      <c r="W35" s="4"/>
      <c r="X35" s="141"/>
      <c r="Y35" s="142"/>
    </row>
    <row r="36" spans="1:25" x14ac:dyDescent="0.3">
      <c r="A36" s="4"/>
      <c r="B36" s="4"/>
      <c r="C36" s="178"/>
      <c r="D36" s="177"/>
      <c r="E36" s="168"/>
      <c r="F36" s="178"/>
      <c r="G36" s="177"/>
      <c r="H36" s="168"/>
      <c r="I36" s="178"/>
      <c r="J36" s="177"/>
      <c r="K36" s="168"/>
      <c r="L36" s="178"/>
      <c r="M36" s="177"/>
      <c r="N36" s="168"/>
      <c r="O36" s="178"/>
      <c r="P36" s="177"/>
      <c r="Q36" s="168"/>
      <c r="R36" s="178"/>
      <c r="S36" s="177"/>
      <c r="T36" s="168"/>
      <c r="U36" s="178"/>
      <c r="V36" s="177"/>
      <c r="W36" s="4"/>
      <c r="X36" s="141"/>
      <c r="Y36" s="142"/>
    </row>
    <row r="37" spans="1:25" x14ac:dyDescent="0.3">
      <c r="A37" s="4"/>
      <c r="B37" s="4"/>
      <c r="C37" s="178"/>
      <c r="D37" s="177"/>
      <c r="E37" s="168"/>
      <c r="F37" s="178"/>
      <c r="G37" s="177"/>
      <c r="H37" s="168"/>
      <c r="I37" s="178"/>
      <c r="J37" s="177"/>
      <c r="K37" s="168"/>
      <c r="L37" s="178"/>
      <c r="M37" s="177"/>
      <c r="N37" s="168"/>
      <c r="O37" s="178"/>
      <c r="P37" s="177"/>
      <c r="Q37" s="168"/>
      <c r="R37" s="178"/>
      <c r="S37" s="177"/>
      <c r="T37" s="168"/>
      <c r="U37" s="178"/>
      <c r="V37" s="177"/>
      <c r="W37" s="4"/>
      <c r="X37" s="141"/>
      <c r="Y37" s="142"/>
    </row>
    <row r="38" spans="1:25" x14ac:dyDescent="0.3">
      <c r="A38" s="4"/>
      <c r="B38" s="4"/>
      <c r="C38" s="178"/>
      <c r="D38" s="177"/>
      <c r="E38" s="168"/>
      <c r="F38" s="178"/>
      <c r="G38" s="177"/>
      <c r="H38" s="168"/>
      <c r="I38" s="178"/>
      <c r="J38" s="177"/>
      <c r="K38" s="168"/>
      <c r="L38" s="178"/>
      <c r="M38" s="177"/>
      <c r="N38" s="168"/>
      <c r="O38" s="178"/>
      <c r="P38" s="177"/>
      <c r="Q38" s="168"/>
      <c r="R38" s="178"/>
      <c r="S38" s="177"/>
      <c r="T38" s="168"/>
      <c r="U38" s="178"/>
      <c r="V38" s="177"/>
      <c r="W38" s="4"/>
      <c r="X38" s="141"/>
      <c r="Y38" s="142"/>
    </row>
    <row r="39" spans="1:25" x14ac:dyDescent="0.3">
      <c r="A39" s="4"/>
      <c r="B39" s="4"/>
      <c r="C39" s="178"/>
      <c r="D39" s="177"/>
      <c r="E39" s="168"/>
      <c r="F39" s="178"/>
      <c r="G39" s="177"/>
      <c r="H39" s="168"/>
      <c r="I39" s="178"/>
      <c r="J39" s="177"/>
      <c r="K39" s="168"/>
      <c r="L39" s="178"/>
      <c r="M39" s="177"/>
      <c r="N39" s="168"/>
      <c r="O39" s="178"/>
      <c r="P39" s="177"/>
      <c r="Q39" s="168"/>
      <c r="R39" s="178"/>
      <c r="S39" s="177"/>
      <c r="T39" s="168"/>
      <c r="U39" s="178"/>
      <c r="V39" s="177"/>
      <c r="W39" s="4"/>
      <c r="X39" s="141"/>
      <c r="Y39" s="142"/>
    </row>
    <row r="40" spans="1:25" x14ac:dyDescent="0.3">
      <c r="A40" s="4"/>
      <c r="B40" s="4"/>
      <c r="C40" s="178"/>
      <c r="D40" s="177"/>
      <c r="E40" s="168"/>
      <c r="F40" s="178"/>
      <c r="G40" s="177"/>
      <c r="H40" s="168"/>
      <c r="I40" s="178"/>
      <c r="J40" s="177"/>
      <c r="K40" s="168"/>
      <c r="L40" s="178"/>
      <c r="M40" s="177"/>
      <c r="N40" s="168"/>
      <c r="O40" s="178"/>
      <c r="P40" s="177"/>
      <c r="Q40" s="168"/>
      <c r="R40" s="178"/>
      <c r="S40" s="177"/>
      <c r="T40" s="168"/>
      <c r="U40" s="178"/>
      <c r="V40" s="177"/>
      <c r="W40" s="4"/>
      <c r="X40" s="141"/>
      <c r="Y40" s="142"/>
    </row>
    <row r="41" spans="1:25" x14ac:dyDescent="0.3">
      <c r="A41" s="4"/>
      <c r="B41" s="4"/>
      <c r="C41" s="178"/>
      <c r="D41" s="177"/>
      <c r="E41" s="168"/>
      <c r="F41" s="178"/>
      <c r="G41" s="177"/>
      <c r="H41" s="168"/>
      <c r="I41" s="178"/>
      <c r="J41" s="177"/>
      <c r="K41" s="168"/>
      <c r="L41" s="178"/>
      <c r="M41" s="177"/>
      <c r="N41" s="168"/>
      <c r="O41" s="178"/>
      <c r="P41" s="177"/>
      <c r="Q41" s="168"/>
      <c r="R41" s="178"/>
      <c r="S41" s="177"/>
      <c r="T41" s="168"/>
      <c r="U41" s="178"/>
      <c r="V41" s="177"/>
      <c r="W41" s="4"/>
      <c r="X41" s="141"/>
      <c r="Y41" s="142"/>
    </row>
    <row r="42" spans="1:25" x14ac:dyDescent="0.3">
      <c r="A42" s="4"/>
      <c r="B42" s="4"/>
      <c r="C42" s="178"/>
      <c r="D42" s="177"/>
      <c r="E42" s="168"/>
      <c r="F42" s="178"/>
      <c r="G42" s="177"/>
      <c r="H42" s="168"/>
      <c r="I42" s="178"/>
      <c r="J42" s="177"/>
      <c r="K42" s="168"/>
      <c r="L42" s="178"/>
      <c r="M42" s="177"/>
      <c r="N42" s="168"/>
      <c r="O42" s="178"/>
      <c r="P42" s="177"/>
      <c r="Q42" s="168"/>
      <c r="R42" s="178"/>
      <c r="S42" s="177"/>
      <c r="T42" s="168"/>
      <c r="U42" s="178"/>
      <c r="V42" s="177"/>
      <c r="W42" s="4"/>
      <c r="X42" s="141"/>
      <c r="Y42" s="142"/>
    </row>
    <row r="43" spans="1:25" x14ac:dyDescent="0.3">
      <c r="A43" s="4"/>
      <c r="B43" s="4"/>
      <c r="C43" s="178"/>
      <c r="D43" s="177"/>
      <c r="E43" s="168"/>
      <c r="F43" s="178"/>
      <c r="G43" s="177"/>
      <c r="H43" s="168"/>
      <c r="I43" s="178"/>
      <c r="J43" s="177"/>
      <c r="K43" s="168"/>
      <c r="L43" s="178"/>
      <c r="M43" s="177"/>
      <c r="N43" s="168"/>
      <c r="O43" s="178"/>
      <c r="P43" s="177"/>
      <c r="Q43" s="168"/>
      <c r="R43" s="178"/>
      <c r="S43" s="177"/>
      <c r="T43" s="168"/>
      <c r="U43" s="178"/>
      <c r="V43" s="177"/>
      <c r="W43" s="4"/>
      <c r="X43" s="141"/>
      <c r="Y43" s="142"/>
    </row>
    <row r="44" spans="1:25" x14ac:dyDescent="0.3">
      <c r="A44" s="4"/>
      <c r="B44" s="4"/>
      <c r="C44" s="178"/>
      <c r="D44" s="177"/>
      <c r="E44" s="168"/>
      <c r="F44" s="178"/>
      <c r="G44" s="177"/>
      <c r="H44" s="168"/>
      <c r="I44" s="178"/>
      <c r="J44" s="177"/>
      <c r="K44" s="168"/>
      <c r="L44" s="178"/>
      <c r="M44" s="177"/>
      <c r="N44" s="168"/>
      <c r="O44" s="178"/>
      <c r="P44" s="177"/>
      <c r="Q44" s="168"/>
      <c r="R44" s="178"/>
      <c r="S44" s="177"/>
      <c r="T44" s="168"/>
      <c r="U44" s="178"/>
      <c r="V44" s="177"/>
      <c r="W44" s="4"/>
      <c r="X44" s="141"/>
      <c r="Y44" s="142"/>
    </row>
    <row r="45" spans="1:25" x14ac:dyDescent="0.3">
      <c r="A45" s="4"/>
      <c r="B45" s="4"/>
      <c r="C45" s="178"/>
      <c r="D45" s="177"/>
      <c r="E45" s="168"/>
      <c r="F45" s="178"/>
      <c r="G45" s="177"/>
      <c r="H45" s="168"/>
      <c r="I45" s="178"/>
      <c r="J45" s="177"/>
      <c r="K45" s="168"/>
      <c r="L45" s="178"/>
      <c r="M45" s="177"/>
      <c r="N45" s="168"/>
      <c r="O45" s="178"/>
      <c r="P45" s="177"/>
      <c r="Q45" s="168"/>
      <c r="R45" s="178"/>
      <c r="S45" s="177"/>
      <c r="T45" s="168"/>
      <c r="U45" s="178"/>
      <c r="V45" s="177"/>
      <c r="W45" s="4"/>
      <c r="X45" s="141"/>
      <c r="Y45" s="142"/>
    </row>
    <row r="46" spans="1:25" x14ac:dyDescent="0.3">
      <c r="A46" s="4"/>
      <c r="B46" s="4"/>
      <c r="C46" s="178"/>
      <c r="D46" s="177"/>
      <c r="E46" s="168"/>
      <c r="F46" s="178"/>
      <c r="G46" s="177"/>
      <c r="H46" s="168"/>
      <c r="I46" s="178"/>
      <c r="J46" s="177"/>
      <c r="K46" s="168"/>
      <c r="L46" s="178"/>
      <c r="M46" s="177"/>
      <c r="N46" s="168"/>
      <c r="O46" s="178"/>
      <c r="P46" s="177"/>
      <c r="Q46" s="168"/>
      <c r="R46" s="178"/>
      <c r="S46" s="177"/>
      <c r="T46" s="168"/>
      <c r="U46" s="178"/>
      <c r="V46" s="177"/>
      <c r="W46" s="4"/>
      <c r="X46" s="141"/>
      <c r="Y46" s="142"/>
    </row>
    <row r="47" spans="1:25" x14ac:dyDescent="0.3">
      <c r="A47" s="4"/>
      <c r="B47" s="4"/>
      <c r="C47" s="178"/>
      <c r="D47" s="177"/>
      <c r="E47" s="168"/>
      <c r="F47" s="178"/>
      <c r="G47" s="177"/>
      <c r="H47" s="168"/>
      <c r="I47" s="178"/>
      <c r="J47" s="177"/>
      <c r="K47" s="168"/>
      <c r="L47" s="178"/>
      <c r="M47" s="177"/>
      <c r="N47" s="168"/>
      <c r="O47" s="178"/>
      <c r="P47" s="177"/>
      <c r="Q47" s="168"/>
      <c r="R47" s="178"/>
      <c r="S47" s="177"/>
      <c r="T47" s="168"/>
      <c r="U47" s="178"/>
      <c r="V47" s="177"/>
      <c r="W47" s="4"/>
      <c r="X47" s="141"/>
      <c r="Y47" s="142"/>
    </row>
    <row r="48" spans="1:25" x14ac:dyDescent="0.3">
      <c r="A48" s="4"/>
      <c r="B48" s="4"/>
      <c r="C48" s="178"/>
      <c r="D48" s="177"/>
      <c r="E48" s="168"/>
      <c r="F48" s="178"/>
      <c r="G48" s="177"/>
      <c r="H48" s="168"/>
      <c r="I48" s="178"/>
      <c r="J48" s="177"/>
      <c r="K48" s="168"/>
      <c r="L48" s="178"/>
      <c r="M48" s="177"/>
      <c r="N48" s="168"/>
      <c r="O48" s="178"/>
      <c r="P48" s="177"/>
      <c r="Q48" s="168"/>
      <c r="R48" s="178"/>
      <c r="S48" s="177"/>
      <c r="T48" s="168"/>
      <c r="U48" s="178"/>
      <c r="V48" s="177"/>
      <c r="W48" s="4"/>
      <c r="X48" s="141"/>
      <c r="Y48" s="142"/>
    </row>
    <row r="49" spans="1:25" x14ac:dyDescent="0.3">
      <c r="A49" s="4"/>
      <c r="B49" s="4"/>
      <c r="C49" s="178"/>
      <c r="D49" s="177"/>
      <c r="E49" s="168"/>
      <c r="F49" s="178"/>
      <c r="G49" s="177"/>
      <c r="H49" s="168"/>
      <c r="I49" s="178"/>
      <c r="J49" s="177"/>
      <c r="K49" s="168"/>
      <c r="L49" s="178"/>
      <c r="M49" s="177"/>
      <c r="N49" s="168"/>
      <c r="O49" s="178"/>
      <c r="P49" s="177"/>
      <c r="Q49" s="168"/>
      <c r="R49" s="178"/>
      <c r="S49" s="177"/>
      <c r="T49" s="168"/>
      <c r="U49" s="178"/>
      <c r="V49" s="177"/>
      <c r="W49" s="4"/>
      <c r="X49" s="141"/>
      <c r="Y49" s="142"/>
    </row>
    <row r="50" spans="1:25" x14ac:dyDescent="0.3">
      <c r="A50" s="4"/>
      <c r="B50" s="4"/>
      <c r="C50" s="178"/>
      <c r="D50" s="177"/>
      <c r="E50" s="168"/>
      <c r="F50" s="178"/>
      <c r="G50" s="177"/>
      <c r="H50" s="168"/>
      <c r="I50" s="178"/>
      <c r="J50" s="177"/>
      <c r="K50" s="168"/>
      <c r="L50" s="178"/>
      <c r="M50" s="177"/>
      <c r="N50" s="168"/>
      <c r="O50" s="178"/>
      <c r="P50" s="177"/>
      <c r="Q50" s="168"/>
      <c r="R50" s="178"/>
      <c r="S50" s="177"/>
      <c r="T50" s="168"/>
      <c r="U50" s="178"/>
      <c r="V50" s="177"/>
      <c r="W50" s="4"/>
      <c r="X50" s="141"/>
      <c r="Y50" s="142"/>
    </row>
    <row r="51" spans="1:25" x14ac:dyDescent="0.3">
      <c r="A51" s="4"/>
      <c r="B51" s="4"/>
      <c r="C51" s="178"/>
      <c r="D51" s="177"/>
      <c r="E51" s="168"/>
      <c r="F51" s="178"/>
      <c r="G51" s="177"/>
      <c r="H51" s="168"/>
      <c r="I51" s="178"/>
      <c r="J51" s="177"/>
      <c r="K51" s="168"/>
      <c r="L51" s="178"/>
      <c r="M51" s="177"/>
      <c r="N51" s="168"/>
      <c r="O51" s="178"/>
      <c r="P51" s="177"/>
      <c r="Q51" s="168"/>
      <c r="R51" s="178"/>
      <c r="S51" s="177"/>
      <c r="T51" s="168"/>
      <c r="U51" s="178"/>
      <c r="V51" s="177"/>
      <c r="W51" s="4"/>
      <c r="X51" s="141"/>
      <c r="Y51" s="142"/>
    </row>
    <row r="52" spans="1:25" x14ac:dyDescent="0.3">
      <c r="A52" s="4"/>
      <c r="B52" s="4"/>
      <c r="C52" s="178"/>
      <c r="D52" s="177"/>
      <c r="E52" s="168"/>
      <c r="F52" s="178"/>
      <c r="G52" s="177"/>
      <c r="H52" s="168"/>
      <c r="I52" s="178"/>
      <c r="J52" s="177"/>
      <c r="K52" s="168"/>
      <c r="L52" s="178"/>
      <c r="M52" s="177"/>
      <c r="N52" s="168"/>
      <c r="O52" s="178"/>
      <c r="P52" s="177"/>
      <c r="Q52" s="168"/>
      <c r="R52" s="178"/>
      <c r="S52" s="177"/>
      <c r="T52" s="168"/>
      <c r="U52" s="178"/>
      <c r="V52" s="177"/>
      <c r="W52" s="4"/>
      <c r="X52" s="141"/>
      <c r="Y52" s="142"/>
    </row>
    <row r="53" spans="1:25" x14ac:dyDescent="0.3">
      <c r="A53" s="4"/>
      <c r="B53" s="4"/>
      <c r="C53" s="178"/>
      <c r="D53" s="177"/>
      <c r="E53" s="168"/>
      <c r="F53" s="178"/>
      <c r="G53" s="177"/>
      <c r="H53" s="168"/>
      <c r="I53" s="178"/>
      <c r="J53" s="177"/>
      <c r="K53" s="168"/>
      <c r="L53" s="178"/>
      <c r="M53" s="177"/>
      <c r="N53" s="168"/>
      <c r="O53" s="178"/>
      <c r="P53" s="177"/>
      <c r="Q53" s="168"/>
      <c r="R53" s="178"/>
      <c r="S53" s="177"/>
      <c r="T53" s="168"/>
      <c r="U53" s="178"/>
      <c r="V53" s="177"/>
      <c r="W53" s="4"/>
      <c r="X53" s="141"/>
      <c r="Y53" s="142"/>
    </row>
    <row r="54" spans="1:25" x14ac:dyDescent="0.3">
      <c r="A54" s="4"/>
      <c r="B54" s="4"/>
      <c r="C54" s="178"/>
      <c r="D54" s="177"/>
      <c r="E54" s="168"/>
      <c r="F54" s="178"/>
      <c r="G54" s="177"/>
      <c r="H54" s="168"/>
      <c r="I54" s="178"/>
      <c r="J54" s="177"/>
      <c r="K54" s="168"/>
      <c r="L54" s="178"/>
      <c r="M54" s="177"/>
      <c r="N54" s="168"/>
      <c r="O54" s="178"/>
      <c r="P54" s="177"/>
      <c r="Q54" s="168"/>
      <c r="R54" s="178"/>
      <c r="S54" s="177"/>
      <c r="T54" s="168"/>
      <c r="U54" s="178"/>
      <c r="V54" s="177"/>
      <c r="W54" s="4"/>
      <c r="X54" s="141"/>
      <c r="Y54" s="142"/>
    </row>
    <row r="55" spans="1:25" x14ac:dyDescent="0.3">
      <c r="A55" s="4"/>
      <c r="B55" s="4"/>
      <c r="C55" s="178"/>
      <c r="D55" s="177"/>
      <c r="E55" s="168"/>
      <c r="F55" s="178"/>
      <c r="G55" s="177"/>
      <c r="H55" s="168"/>
      <c r="I55" s="178"/>
      <c r="J55" s="177"/>
      <c r="K55" s="168"/>
      <c r="L55" s="178"/>
      <c r="M55" s="177"/>
      <c r="N55" s="168"/>
      <c r="O55" s="178"/>
      <c r="P55" s="177"/>
      <c r="Q55" s="168"/>
      <c r="R55" s="178"/>
      <c r="S55" s="177"/>
      <c r="T55" s="168"/>
      <c r="U55" s="178"/>
      <c r="V55" s="177"/>
      <c r="W55" s="4"/>
      <c r="X55" s="141"/>
      <c r="Y55" s="142"/>
    </row>
    <row r="56" spans="1:25" x14ac:dyDescent="0.3">
      <c r="A56" s="4"/>
      <c r="B56" s="4"/>
      <c r="C56" s="178"/>
      <c r="D56" s="177"/>
      <c r="E56" s="168"/>
      <c r="F56" s="178"/>
      <c r="G56" s="177"/>
      <c r="H56" s="168"/>
      <c r="I56" s="178"/>
      <c r="J56" s="177"/>
      <c r="K56" s="168"/>
      <c r="L56" s="178"/>
      <c r="M56" s="177"/>
      <c r="N56" s="168"/>
      <c r="O56" s="178"/>
      <c r="P56" s="177"/>
      <c r="Q56" s="168"/>
      <c r="R56" s="178"/>
      <c r="S56" s="177"/>
      <c r="T56" s="168"/>
      <c r="U56" s="178"/>
      <c r="V56" s="177"/>
      <c r="W56" s="4"/>
      <c r="X56" s="141"/>
      <c r="Y56" s="142"/>
    </row>
    <row r="57" spans="1:25" x14ac:dyDescent="0.3">
      <c r="A57" s="4"/>
      <c r="B57" s="4"/>
      <c r="C57" s="178"/>
      <c r="D57" s="177"/>
      <c r="E57" s="168"/>
      <c r="F57" s="178"/>
      <c r="G57" s="177"/>
      <c r="H57" s="168"/>
      <c r="I57" s="178"/>
      <c r="J57" s="177"/>
      <c r="K57" s="168"/>
      <c r="L57" s="178"/>
      <c r="M57" s="177"/>
      <c r="N57" s="168"/>
      <c r="O57" s="178"/>
      <c r="P57" s="177"/>
      <c r="Q57" s="168"/>
      <c r="R57" s="178"/>
      <c r="S57" s="177"/>
      <c r="T57" s="168"/>
      <c r="U57" s="178"/>
      <c r="V57" s="177"/>
      <c r="W57" s="4"/>
      <c r="X57" s="141"/>
      <c r="Y57" s="142"/>
    </row>
    <row r="58" spans="1:25" x14ac:dyDescent="0.3">
      <c r="A58" s="4"/>
      <c r="B58" s="4"/>
      <c r="C58" s="178"/>
      <c r="D58" s="177"/>
      <c r="E58" s="168"/>
      <c r="F58" s="178"/>
      <c r="G58" s="177"/>
      <c r="H58" s="168"/>
      <c r="I58" s="178"/>
      <c r="J58" s="177"/>
      <c r="K58" s="168"/>
      <c r="L58" s="178"/>
      <c r="M58" s="177"/>
      <c r="N58" s="168"/>
      <c r="O58" s="178"/>
      <c r="P58" s="177"/>
      <c r="Q58" s="168"/>
      <c r="R58" s="178"/>
      <c r="S58" s="177"/>
      <c r="T58" s="168"/>
      <c r="U58" s="178"/>
      <c r="V58" s="177"/>
      <c r="W58" s="4"/>
      <c r="X58" s="141"/>
      <c r="Y58" s="142"/>
    </row>
    <row r="59" spans="1:25" x14ac:dyDescent="0.3">
      <c r="A59" s="4"/>
      <c r="B59" s="4"/>
      <c r="C59" s="178"/>
      <c r="D59" s="177"/>
      <c r="E59" s="168"/>
      <c r="F59" s="178"/>
      <c r="G59" s="177"/>
      <c r="H59" s="168"/>
      <c r="I59" s="178"/>
      <c r="J59" s="177"/>
      <c r="K59" s="168"/>
      <c r="L59" s="178"/>
      <c r="M59" s="177"/>
      <c r="N59" s="168"/>
      <c r="O59" s="178"/>
      <c r="P59" s="177"/>
      <c r="Q59" s="168"/>
      <c r="R59" s="178"/>
      <c r="S59" s="177"/>
      <c r="T59" s="168"/>
      <c r="U59" s="178"/>
      <c r="V59" s="177"/>
      <c r="W59" s="4"/>
      <c r="X59" s="141"/>
      <c r="Y59" s="142"/>
    </row>
    <row r="60" spans="1:25" x14ac:dyDescent="0.3">
      <c r="A60" s="4"/>
      <c r="B60" s="4"/>
      <c r="C60" s="178"/>
      <c r="D60" s="177"/>
      <c r="E60" s="168"/>
      <c r="F60" s="178"/>
      <c r="G60" s="177"/>
      <c r="H60" s="168"/>
      <c r="I60" s="178"/>
      <c r="J60" s="177"/>
      <c r="K60" s="168"/>
      <c r="L60" s="178"/>
      <c r="M60" s="177"/>
      <c r="N60" s="168"/>
      <c r="O60" s="178"/>
      <c r="P60" s="177"/>
      <c r="Q60" s="168"/>
      <c r="R60" s="178"/>
      <c r="S60" s="177"/>
      <c r="T60" s="168"/>
      <c r="U60" s="178"/>
      <c r="V60" s="177"/>
      <c r="W60" s="4"/>
      <c r="X60" s="141"/>
      <c r="Y60" s="142"/>
    </row>
    <row r="61" spans="1:25" x14ac:dyDescent="0.3">
      <c r="A61" s="4"/>
      <c r="B61" s="4"/>
      <c r="C61" s="178"/>
      <c r="D61" s="177"/>
      <c r="E61" s="168"/>
      <c r="F61" s="178"/>
      <c r="G61" s="177"/>
      <c r="H61" s="168"/>
      <c r="I61" s="178"/>
      <c r="J61" s="177"/>
      <c r="K61" s="168"/>
      <c r="L61" s="178"/>
      <c r="M61" s="177"/>
      <c r="N61" s="168"/>
      <c r="O61" s="178"/>
      <c r="P61" s="177"/>
      <c r="Q61" s="168"/>
      <c r="R61" s="178"/>
      <c r="S61" s="177"/>
      <c r="T61" s="168"/>
      <c r="U61" s="178"/>
      <c r="V61" s="177"/>
      <c r="W61" s="4"/>
      <c r="X61" s="141"/>
      <c r="Y61" s="142"/>
    </row>
    <row r="62" spans="1:25" x14ac:dyDescent="0.3">
      <c r="A62" s="4"/>
      <c r="B62" s="4"/>
      <c r="C62" s="178"/>
      <c r="D62" s="177"/>
      <c r="E62" s="168"/>
      <c r="F62" s="178"/>
      <c r="G62" s="177"/>
      <c r="H62" s="168"/>
      <c r="I62" s="178"/>
      <c r="J62" s="177"/>
      <c r="K62" s="168"/>
      <c r="L62" s="178"/>
      <c r="M62" s="177"/>
      <c r="N62" s="168"/>
      <c r="O62" s="178"/>
      <c r="P62" s="177"/>
      <c r="Q62" s="168"/>
      <c r="R62" s="178"/>
      <c r="S62" s="177"/>
      <c r="T62" s="168"/>
      <c r="U62" s="178"/>
      <c r="V62" s="177"/>
      <c r="W62" s="4"/>
      <c r="X62" s="141"/>
      <c r="Y62" s="142"/>
    </row>
    <row r="63" spans="1:25" x14ac:dyDescent="0.3">
      <c r="A63" s="4"/>
      <c r="B63" s="4"/>
      <c r="C63" s="178"/>
      <c r="D63" s="177"/>
      <c r="E63" s="168"/>
      <c r="F63" s="178"/>
      <c r="G63" s="177"/>
      <c r="H63" s="168"/>
      <c r="I63" s="178"/>
      <c r="J63" s="177"/>
      <c r="K63" s="168"/>
      <c r="L63" s="178"/>
      <c r="M63" s="177"/>
      <c r="N63" s="168"/>
      <c r="O63" s="178"/>
      <c r="P63" s="177"/>
      <c r="Q63" s="168"/>
      <c r="R63" s="178"/>
      <c r="S63" s="177"/>
      <c r="T63" s="168"/>
      <c r="U63" s="178"/>
      <c r="V63" s="177"/>
      <c r="W63" s="4"/>
      <c r="X63" s="141"/>
      <c r="Y63" s="142"/>
    </row>
    <row r="64" spans="1:25" x14ac:dyDescent="0.3">
      <c r="A64" s="4"/>
      <c r="B64" s="4"/>
      <c r="C64" s="178"/>
      <c r="D64" s="177"/>
      <c r="E64" s="168"/>
      <c r="F64" s="178"/>
      <c r="G64" s="177"/>
      <c r="H64" s="168"/>
      <c r="I64" s="178"/>
      <c r="J64" s="177"/>
      <c r="K64" s="168"/>
      <c r="L64" s="178"/>
      <c r="M64" s="177"/>
      <c r="N64" s="168"/>
      <c r="O64" s="178"/>
      <c r="P64" s="177"/>
      <c r="Q64" s="168"/>
      <c r="R64" s="178"/>
      <c r="S64" s="177"/>
      <c r="T64" s="168"/>
      <c r="U64" s="178"/>
      <c r="V64" s="177"/>
      <c r="W64" s="4"/>
      <c r="X64" s="141"/>
      <c r="Y64" s="142"/>
    </row>
    <row r="65" spans="1:25" x14ac:dyDescent="0.3">
      <c r="A65" s="4"/>
      <c r="B65" s="4"/>
      <c r="C65" s="178"/>
      <c r="D65" s="177"/>
      <c r="E65" s="168"/>
      <c r="F65" s="178"/>
      <c r="G65" s="177"/>
      <c r="H65" s="168"/>
      <c r="I65" s="178"/>
      <c r="J65" s="177"/>
      <c r="K65" s="168"/>
      <c r="L65" s="178"/>
      <c r="M65" s="177"/>
      <c r="N65" s="168"/>
      <c r="O65" s="178"/>
      <c r="P65" s="177"/>
      <c r="Q65" s="168"/>
      <c r="R65" s="178"/>
      <c r="S65" s="177"/>
      <c r="T65" s="168"/>
      <c r="U65" s="178"/>
      <c r="V65" s="177"/>
      <c r="W65" s="4"/>
      <c r="X65" s="141"/>
      <c r="Y65" s="142"/>
    </row>
    <row r="66" spans="1:25" x14ac:dyDescent="0.3">
      <c r="A66" s="4"/>
      <c r="B66" s="4"/>
      <c r="C66" s="178"/>
      <c r="D66" s="177"/>
      <c r="E66" s="168"/>
      <c r="F66" s="178"/>
      <c r="G66" s="177"/>
      <c r="H66" s="168"/>
      <c r="I66" s="178"/>
      <c r="J66" s="177"/>
      <c r="K66" s="168"/>
      <c r="L66" s="178"/>
      <c r="M66" s="177"/>
      <c r="N66" s="168"/>
      <c r="O66" s="178"/>
      <c r="P66" s="177"/>
      <c r="Q66" s="168"/>
      <c r="R66" s="178"/>
      <c r="S66" s="177"/>
      <c r="T66" s="168"/>
      <c r="U66" s="178"/>
      <c r="V66" s="177"/>
      <c r="W66" s="4"/>
      <c r="X66" s="141"/>
      <c r="Y66" s="142"/>
    </row>
    <row r="67" spans="1:25" x14ac:dyDescent="0.3">
      <c r="A67" s="4"/>
      <c r="B67" s="4"/>
      <c r="C67" s="178"/>
      <c r="D67" s="177"/>
      <c r="E67" s="168"/>
      <c r="F67" s="178"/>
      <c r="G67" s="177"/>
      <c r="H67" s="168"/>
      <c r="I67" s="178"/>
      <c r="J67" s="177"/>
      <c r="K67" s="168"/>
      <c r="L67" s="178"/>
      <c r="M67" s="177"/>
      <c r="N67" s="168"/>
      <c r="O67" s="178"/>
      <c r="P67" s="177"/>
      <c r="Q67" s="168"/>
      <c r="R67" s="178"/>
      <c r="S67" s="177"/>
      <c r="T67" s="168"/>
      <c r="U67" s="178"/>
      <c r="V67" s="177"/>
      <c r="W67" s="4"/>
      <c r="X67" s="141"/>
      <c r="Y67" s="142"/>
    </row>
    <row r="68" spans="1:25" x14ac:dyDescent="0.3">
      <c r="A68" s="4"/>
      <c r="B68" s="4"/>
      <c r="C68" s="178"/>
      <c r="D68" s="177"/>
      <c r="E68" s="168"/>
      <c r="F68" s="178"/>
      <c r="G68" s="177"/>
      <c r="H68" s="168"/>
      <c r="I68" s="178"/>
      <c r="J68" s="177"/>
      <c r="K68" s="168"/>
      <c r="L68" s="178"/>
      <c r="M68" s="177"/>
      <c r="N68" s="168"/>
      <c r="O68" s="178"/>
      <c r="P68" s="177"/>
      <c r="Q68" s="168"/>
      <c r="R68" s="178"/>
      <c r="S68" s="177"/>
      <c r="T68" s="168"/>
      <c r="U68" s="178"/>
      <c r="V68" s="177"/>
      <c r="W68" s="4"/>
      <c r="X68" s="141"/>
      <c r="Y68" s="142"/>
    </row>
    <row r="69" spans="1:25" x14ac:dyDescent="0.3">
      <c r="C69" s="178"/>
      <c r="D69" s="177"/>
      <c r="F69" s="178"/>
      <c r="G69" s="177"/>
      <c r="H69" s="168"/>
      <c r="I69" s="178"/>
      <c r="J69" s="177"/>
      <c r="K69" s="168"/>
      <c r="L69" s="178"/>
      <c r="M69" s="177"/>
      <c r="N69" s="168"/>
      <c r="O69" s="178"/>
      <c r="P69" s="177"/>
      <c r="Q69" s="168"/>
      <c r="R69" s="178"/>
      <c r="S69" s="177"/>
      <c r="T69" s="168"/>
      <c r="U69" s="178"/>
      <c r="V69" s="177"/>
      <c r="W69" s="4"/>
      <c r="X69" s="141"/>
      <c r="Y69" s="142"/>
    </row>
    <row r="70" spans="1:25" x14ac:dyDescent="0.3">
      <c r="C70" s="178"/>
      <c r="D70" s="177"/>
      <c r="F70" s="178"/>
      <c r="G70" s="177"/>
      <c r="H70" s="168"/>
      <c r="I70" s="178"/>
      <c r="J70" s="177"/>
      <c r="K70" s="168"/>
      <c r="L70" s="178"/>
      <c r="M70" s="177"/>
      <c r="N70" s="168"/>
      <c r="O70" s="178"/>
      <c r="P70" s="177"/>
      <c r="Q70" s="168"/>
      <c r="R70" s="178"/>
      <c r="S70" s="177"/>
      <c r="T70" s="168"/>
      <c r="U70" s="178"/>
      <c r="V70" s="177"/>
      <c r="W70" s="4"/>
      <c r="X70" s="141"/>
      <c r="Y70" s="142"/>
    </row>
    <row r="71" spans="1:25" x14ac:dyDescent="0.3">
      <c r="C71" s="178"/>
      <c r="D71" s="177"/>
      <c r="F71" s="178"/>
      <c r="G71" s="177"/>
      <c r="H71" s="168"/>
      <c r="I71" s="178"/>
      <c r="J71" s="177"/>
      <c r="K71" s="168"/>
      <c r="L71" s="178"/>
      <c r="M71" s="177"/>
      <c r="N71" s="168"/>
      <c r="O71" s="178"/>
      <c r="P71" s="177"/>
      <c r="Q71" s="168"/>
      <c r="R71" s="178"/>
      <c r="S71" s="177"/>
      <c r="T71" s="168"/>
      <c r="U71" s="178"/>
      <c r="V71" s="177"/>
      <c r="W71" s="4"/>
      <c r="X71" s="141"/>
      <c r="Y71" s="142"/>
    </row>
    <row r="72" spans="1:25" x14ac:dyDescent="0.3">
      <c r="C72" s="178"/>
      <c r="D72" s="177"/>
      <c r="F72" s="178"/>
      <c r="G72" s="177"/>
      <c r="H72" s="168"/>
      <c r="I72" s="178"/>
      <c r="J72" s="177"/>
      <c r="K72" s="168"/>
      <c r="L72" s="178"/>
      <c r="M72" s="177"/>
      <c r="N72" s="168"/>
      <c r="O72" s="178"/>
      <c r="P72" s="177"/>
      <c r="Q72" s="168"/>
      <c r="R72" s="178"/>
      <c r="S72" s="177"/>
      <c r="T72" s="168"/>
      <c r="U72" s="178"/>
      <c r="V72" s="177"/>
      <c r="W72" s="4"/>
      <c r="X72" s="141"/>
      <c r="Y72" s="142"/>
    </row>
    <row r="73" spans="1:25" x14ac:dyDescent="0.3">
      <c r="C73" s="178"/>
      <c r="D73" s="177"/>
      <c r="F73" s="178"/>
      <c r="G73" s="177"/>
      <c r="H73" s="168"/>
      <c r="I73" s="178"/>
      <c r="J73" s="177"/>
      <c r="K73" s="168"/>
      <c r="L73" s="178"/>
      <c r="M73" s="177"/>
      <c r="N73" s="168"/>
      <c r="O73" s="178"/>
      <c r="P73" s="177"/>
      <c r="Q73" s="168"/>
      <c r="R73" s="178"/>
      <c r="S73" s="177"/>
      <c r="T73" s="168"/>
      <c r="U73" s="178"/>
      <c r="V73" s="177"/>
      <c r="W73" s="4"/>
      <c r="X73" s="141"/>
      <c r="Y73" s="142"/>
    </row>
    <row r="74" spans="1:25" x14ac:dyDescent="0.3">
      <c r="C74" s="178"/>
      <c r="D74" s="177"/>
      <c r="F74" s="178"/>
      <c r="G74" s="177"/>
      <c r="H74" s="168"/>
      <c r="I74" s="178"/>
      <c r="J74" s="177"/>
      <c r="K74" s="168"/>
      <c r="L74" s="178"/>
      <c r="M74" s="177"/>
      <c r="N74" s="168"/>
      <c r="O74" s="178"/>
      <c r="P74" s="177"/>
      <c r="Q74" s="168"/>
      <c r="R74" s="178"/>
      <c r="S74" s="177"/>
      <c r="T74" s="168"/>
      <c r="U74" s="178"/>
      <c r="V74" s="177"/>
      <c r="W74" s="4"/>
      <c r="X74" s="141"/>
      <c r="Y74" s="142"/>
    </row>
    <row r="75" spans="1:25" x14ac:dyDescent="0.3">
      <c r="C75" s="178"/>
      <c r="D75" s="177"/>
      <c r="F75" s="178"/>
      <c r="G75" s="177"/>
      <c r="H75" s="168"/>
      <c r="I75" s="178"/>
      <c r="J75" s="177"/>
      <c r="K75" s="168"/>
      <c r="L75" s="178"/>
      <c r="M75" s="177"/>
      <c r="N75" s="168"/>
      <c r="O75" s="178"/>
      <c r="P75" s="177"/>
      <c r="Q75" s="168"/>
      <c r="R75" s="178"/>
      <c r="S75" s="177"/>
      <c r="T75" s="168"/>
      <c r="U75" s="178"/>
      <c r="V75" s="177"/>
      <c r="W75" s="4"/>
      <c r="X75" s="141"/>
      <c r="Y75" s="142"/>
    </row>
    <row r="76" spans="1:25" x14ac:dyDescent="0.3">
      <c r="C76" s="178"/>
      <c r="D76" s="177"/>
      <c r="F76" s="178"/>
      <c r="G76" s="177"/>
      <c r="H76" s="168"/>
      <c r="I76" s="178"/>
      <c r="J76" s="177"/>
      <c r="K76" s="168"/>
      <c r="L76" s="178"/>
      <c r="M76" s="177"/>
      <c r="N76" s="168"/>
      <c r="O76" s="178"/>
      <c r="P76" s="177"/>
      <c r="Q76" s="168"/>
      <c r="R76" s="178"/>
      <c r="S76" s="177"/>
      <c r="T76" s="168"/>
      <c r="U76" s="178"/>
      <c r="V76" s="177"/>
      <c r="W76" s="4"/>
      <c r="X76" s="141"/>
      <c r="Y76" s="142"/>
    </row>
    <row r="77" spans="1:25" x14ac:dyDescent="0.3">
      <c r="C77" s="178"/>
      <c r="D77" s="177"/>
      <c r="F77" s="178"/>
      <c r="G77" s="177"/>
      <c r="H77" s="168"/>
      <c r="I77" s="178"/>
      <c r="J77" s="177"/>
      <c r="K77" s="168"/>
      <c r="L77" s="178"/>
      <c r="M77" s="177"/>
      <c r="N77" s="168"/>
      <c r="O77" s="178"/>
      <c r="P77" s="177"/>
      <c r="Q77" s="168"/>
      <c r="R77" s="178"/>
      <c r="S77" s="177"/>
      <c r="T77" s="168"/>
      <c r="U77" s="178"/>
      <c r="V77" s="177"/>
      <c r="W77" s="4"/>
      <c r="X77" s="141"/>
      <c r="Y77" s="142"/>
    </row>
    <row r="78" spans="1:25" x14ac:dyDescent="0.3">
      <c r="C78" s="178"/>
      <c r="D78" s="177"/>
      <c r="F78" s="178"/>
      <c r="G78" s="177"/>
      <c r="H78" s="168"/>
      <c r="I78" s="178"/>
      <c r="J78" s="177"/>
      <c r="K78" s="168"/>
      <c r="L78" s="178"/>
      <c r="M78" s="177"/>
      <c r="N78" s="168"/>
      <c r="O78" s="178"/>
      <c r="P78" s="177"/>
      <c r="Q78" s="168"/>
      <c r="R78" s="178"/>
      <c r="S78" s="177"/>
      <c r="T78" s="168"/>
      <c r="U78" s="178"/>
      <c r="V78" s="177"/>
      <c r="W78" s="4"/>
      <c r="X78" s="141"/>
      <c r="Y78" s="142"/>
    </row>
    <row r="79" spans="1:25" x14ac:dyDescent="0.3">
      <c r="C79" s="178"/>
      <c r="D79" s="177"/>
      <c r="F79" s="178"/>
      <c r="G79" s="177"/>
      <c r="H79" s="168"/>
      <c r="I79" s="178"/>
      <c r="J79" s="177"/>
      <c r="K79" s="168"/>
      <c r="L79" s="178"/>
      <c r="M79" s="177"/>
      <c r="N79" s="168"/>
      <c r="O79" s="178"/>
      <c r="P79" s="177"/>
      <c r="Q79" s="168"/>
      <c r="R79" s="178"/>
      <c r="S79" s="177"/>
      <c r="T79" s="168"/>
      <c r="U79" s="178"/>
      <c r="V79" s="177"/>
      <c r="W79" s="4"/>
      <c r="X79" s="141"/>
      <c r="Y79" s="142"/>
    </row>
    <row r="80" spans="1:25" x14ac:dyDescent="0.3">
      <c r="C80" s="178"/>
      <c r="D80" s="177"/>
      <c r="F80" s="178"/>
      <c r="G80" s="177"/>
      <c r="H80" s="168"/>
      <c r="I80" s="178"/>
      <c r="J80" s="177"/>
      <c r="K80" s="168"/>
      <c r="L80" s="178"/>
      <c r="M80" s="177"/>
      <c r="N80" s="168"/>
      <c r="O80" s="178"/>
      <c r="P80" s="177"/>
      <c r="Q80" s="168"/>
      <c r="R80" s="178"/>
      <c r="S80" s="177"/>
      <c r="T80" s="168"/>
      <c r="U80" s="178"/>
      <c r="V80" s="177"/>
      <c r="W80" s="4"/>
      <c r="X80" s="141"/>
      <c r="Y80" s="142"/>
    </row>
    <row r="81" spans="3:25" x14ac:dyDescent="0.3">
      <c r="C81" s="178"/>
      <c r="D81" s="177"/>
      <c r="F81" s="178"/>
      <c r="G81" s="177"/>
      <c r="H81" s="168"/>
      <c r="I81" s="178"/>
      <c r="J81" s="177"/>
      <c r="K81" s="168"/>
      <c r="L81" s="178"/>
      <c r="M81" s="177"/>
      <c r="N81" s="168"/>
      <c r="O81" s="178"/>
      <c r="P81" s="177"/>
      <c r="Q81" s="168"/>
      <c r="R81" s="178"/>
      <c r="S81" s="177"/>
      <c r="T81" s="168"/>
      <c r="U81" s="178"/>
      <c r="V81" s="177"/>
      <c r="W81" s="4"/>
      <c r="X81" s="141"/>
      <c r="Y81" s="142"/>
    </row>
    <row r="82" spans="3:25" x14ac:dyDescent="0.3">
      <c r="C82" s="178"/>
      <c r="D82" s="177"/>
      <c r="F82" s="178"/>
      <c r="G82" s="177"/>
      <c r="H82" s="168"/>
      <c r="I82" s="178"/>
      <c r="J82" s="177"/>
      <c r="K82" s="168"/>
      <c r="L82" s="178"/>
      <c r="M82" s="177"/>
      <c r="N82" s="168"/>
      <c r="O82" s="178"/>
      <c r="P82" s="177"/>
      <c r="Q82" s="168"/>
      <c r="R82" s="178"/>
      <c r="S82" s="177"/>
      <c r="T82" s="168"/>
      <c r="U82" s="178"/>
      <c r="V82" s="177"/>
      <c r="W82" s="4"/>
      <c r="X82" s="141"/>
      <c r="Y82" s="142"/>
    </row>
    <row r="83" spans="3:25" x14ac:dyDescent="0.3">
      <c r="C83" s="178"/>
      <c r="D83" s="177"/>
      <c r="F83" s="178"/>
      <c r="G83" s="177"/>
      <c r="H83" s="168"/>
      <c r="I83" s="178"/>
      <c r="J83" s="177"/>
      <c r="K83" s="168"/>
      <c r="L83" s="178"/>
      <c r="M83" s="177"/>
      <c r="N83" s="168"/>
      <c r="O83" s="178"/>
      <c r="P83" s="177"/>
      <c r="Q83" s="168"/>
      <c r="R83" s="178"/>
      <c r="S83" s="177"/>
      <c r="T83" s="168"/>
      <c r="U83" s="178"/>
      <c r="V83" s="177"/>
      <c r="W83" s="4"/>
      <c r="X83" s="141"/>
      <c r="Y83" s="142"/>
    </row>
    <row r="84" spans="3:25" x14ac:dyDescent="0.3">
      <c r="C84" s="178"/>
      <c r="D84" s="177"/>
      <c r="F84" s="178"/>
      <c r="G84" s="177"/>
      <c r="H84" s="168"/>
      <c r="I84" s="178"/>
      <c r="J84" s="177"/>
      <c r="K84" s="168"/>
      <c r="L84" s="178"/>
      <c r="M84" s="177"/>
      <c r="N84" s="168"/>
      <c r="O84" s="178"/>
      <c r="P84" s="177"/>
      <c r="Q84" s="168"/>
      <c r="R84" s="178"/>
      <c r="S84" s="177"/>
      <c r="T84" s="168"/>
      <c r="U84" s="178"/>
      <c r="V84" s="177"/>
      <c r="W84" s="4"/>
      <c r="X84" s="141"/>
      <c r="Y84" s="142"/>
    </row>
    <row r="85" spans="3:25" x14ac:dyDescent="0.3">
      <c r="C85" s="178"/>
      <c r="D85" s="177"/>
      <c r="F85" s="178"/>
      <c r="G85" s="177"/>
      <c r="H85" s="168"/>
      <c r="I85" s="178"/>
      <c r="J85" s="177"/>
      <c r="K85" s="168"/>
      <c r="L85" s="178"/>
      <c r="M85" s="177"/>
      <c r="N85" s="168"/>
      <c r="O85" s="178"/>
      <c r="P85" s="177"/>
      <c r="Q85" s="168"/>
      <c r="R85" s="178"/>
      <c r="S85" s="177"/>
      <c r="T85" s="168"/>
      <c r="U85" s="178"/>
      <c r="V85" s="177"/>
      <c r="W85" s="4"/>
      <c r="X85" s="141"/>
      <c r="Y85" s="142"/>
    </row>
    <row r="86" spans="3:25" x14ac:dyDescent="0.3">
      <c r="C86" s="178"/>
      <c r="D86" s="177"/>
      <c r="F86" s="178"/>
      <c r="G86" s="177"/>
      <c r="H86" s="168"/>
      <c r="I86" s="178"/>
      <c r="J86" s="177"/>
      <c r="K86" s="168"/>
      <c r="L86" s="178"/>
      <c r="M86" s="177"/>
      <c r="N86" s="168"/>
      <c r="O86" s="178"/>
      <c r="P86" s="177"/>
      <c r="Q86" s="168"/>
      <c r="R86" s="178"/>
      <c r="S86" s="177"/>
      <c r="T86" s="168"/>
      <c r="U86" s="178"/>
      <c r="V86" s="177"/>
      <c r="W86" s="4"/>
      <c r="X86" s="141"/>
      <c r="Y86" s="142"/>
    </row>
    <row r="87" spans="3:25" x14ac:dyDescent="0.3">
      <c r="C87" s="178"/>
      <c r="D87" s="177"/>
      <c r="F87" s="178"/>
      <c r="G87" s="177"/>
      <c r="H87" s="168"/>
      <c r="I87" s="178"/>
      <c r="J87" s="177"/>
      <c r="K87" s="168"/>
      <c r="L87" s="178"/>
      <c r="M87" s="177"/>
      <c r="N87" s="168"/>
      <c r="O87" s="178"/>
      <c r="P87" s="177"/>
      <c r="Q87" s="168"/>
      <c r="R87" s="178"/>
      <c r="S87" s="177"/>
      <c r="T87" s="168"/>
      <c r="U87" s="178"/>
      <c r="V87" s="177"/>
      <c r="W87" s="4"/>
      <c r="X87" s="141"/>
      <c r="Y87" s="142"/>
    </row>
    <row r="88" spans="3:25" x14ac:dyDescent="0.3">
      <c r="C88" s="178"/>
      <c r="D88" s="177"/>
      <c r="F88" s="178"/>
      <c r="G88" s="177"/>
      <c r="H88" s="168"/>
      <c r="I88" s="178"/>
      <c r="J88" s="177"/>
      <c r="K88" s="168"/>
      <c r="L88" s="178"/>
      <c r="M88" s="177"/>
      <c r="N88" s="168"/>
      <c r="O88" s="178"/>
      <c r="P88" s="177"/>
      <c r="Q88" s="168"/>
      <c r="R88" s="178"/>
      <c r="S88" s="177"/>
      <c r="T88" s="168"/>
      <c r="U88" s="178"/>
      <c r="V88" s="177"/>
      <c r="W88" s="4"/>
      <c r="X88" s="141"/>
      <c r="Y88" s="142"/>
    </row>
    <row r="89" spans="3:25" x14ac:dyDescent="0.3">
      <c r="C89" s="178"/>
      <c r="D89" s="177"/>
      <c r="F89" s="178"/>
      <c r="G89" s="177"/>
      <c r="H89" s="168"/>
      <c r="I89" s="178"/>
      <c r="J89" s="177"/>
      <c r="K89" s="168"/>
      <c r="L89" s="178"/>
      <c r="M89" s="177"/>
      <c r="N89" s="168"/>
      <c r="O89" s="178"/>
      <c r="P89" s="177"/>
      <c r="Q89" s="168"/>
      <c r="R89" s="178"/>
      <c r="S89" s="177"/>
      <c r="T89" s="168"/>
      <c r="U89" s="178"/>
      <c r="V89" s="177"/>
      <c r="W89" s="4"/>
      <c r="X89" s="141"/>
      <c r="Y89" s="142"/>
    </row>
    <row r="90" spans="3:25" x14ac:dyDescent="0.3">
      <c r="C90" s="178"/>
      <c r="D90" s="177"/>
      <c r="F90" s="178"/>
      <c r="G90" s="177"/>
      <c r="H90" s="168"/>
      <c r="I90" s="178"/>
      <c r="J90" s="177"/>
      <c r="K90" s="168"/>
      <c r="L90" s="178"/>
      <c r="M90" s="177"/>
      <c r="N90" s="168"/>
      <c r="O90" s="178"/>
      <c r="P90" s="177"/>
      <c r="Q90" s="168"/>
      <c r="R90" s="178"/>
      <c r="S90" s="177"/>
      <c r="T90" s="168"/>
      <c r="U90" s="178"/>
      <c r="V90" s="177"/>
      <c r="W90" s="4"/>
      <c r="X90" s="141"/>
      <c r="Y90" s="142"/>
    </row>
    <row r="91" spans="3:25" x14ac:dyDescent="0.3">
      <c r="C91" s="178"/>
      <c r="D91" s="177"/>
      <c r="F91" s="178"/>
      <c r="G91" s="177"/>
      <c r="H91" s="168"/>
      <c r="I91" s="178"/>
      <c r="J91" s="177"/>
      <c r="K91" s="168"/>
      <c r="L91" s="178"/>
      <c r="M91" s="177"/>
      <c r="N91" s="168"/>
      <c r="O91" s="178"/>
      <c r="P91" s="177"/>
      <c r="Q91" s="168"/>
      <c r="R91" s="178"/>
      <c r="S91" s="177"/>
      <c r="T91" s="168"/>
      <c r="U91" s="178"/>
      <c r="V91" s="177"/>
      <c r="W91" s="4"/>
      <c r="X91" s="141"/>
      <c r="Y91" s="142"/>
    </row>
    <row r="92" spans="3:25" x14ac:dyDescent="0.3">
      <c r="C92" s="178"/>
      <c r="D92" s="177"/>
      <c r="F92" s="178"/>
      <c r="G92" s="177"/>
      <c r="H92" s="168"/>
      <c r="I92" s="178"/>
      <c r="J92" s="177"/>
      <c r="K92" s="168"/>
      <c r="L92" s="178"/>
      <c r="M92" s="177"/>
      <c r="N92" s="168"/>
      <c r="O92" s="178"/>
      <c r="P92" s="177"/>
      <c r="Q92" s="168"/>
      <c r="R92" s="178"/>
      <c r="S92" s="177"/>
      <c r="T92" s="168"/>
      <c r="U92" s="178"/>
      <c r="V92" s="177"/>
      <c r="W92" s="4"/>
      <c r="X92" s="141"/>
      <c r="Y92" s="142"/>
    </row>
    <row r="93" spans="3:25" x14ac:dyDescent="0.3">
      <c r="C93" s="178"/>
      <c r="D93" s="177"/>
      <c r="F93" s="178"/>
      <c r="G93" s="177"/>
      <c r="H93" s="168"/>
      <c r="I93" s="178"/>
      <c r="J93" s="177"/>
      <c r="K93" s="168"/>
      <c r="L93" s="178"/>
      <c r="M93" s="177"/>
      <c r="N93" s="168"/>
      <c r="O93" s="178"/>
      <c r="P93" s="177"/>
      <c r="Q93" s="168"/>
      <c r="R93" s="178"/>
      <c r="S93" s="177"/>
      <c r="T93" s="168"/>
      <c r="U93" s="178"/>
      <c r="V93" s="177"/>
      <c r="W93" s="4"/>
      <c r="X93" s="141"/>
      <c r="Y93" s="142"/>
    </row>
    <row r="94" spans="3:25" x14ac:dyDescent="0.3">
      <c r="C94" s="178"/>
      <c r="D94" s="177"/>
      <c r="F94" s="178"/>
      <c r="G94" s="177"/>
      <c r="H94" s="168"/>
      <c r="I94" s="178"/>
      <c r="J94" s="177"/>
      <c r="K94" s="168"/>
      <c r="L94" s="178"/>
      <c r="M94" s="177"/>
      <c r="N94" s="168"/>
      <c r="O94" s="178"/>
      <c r="P94" s="177"/>
      <c r="Q94" s="168"/>
      <c r="R94" s="178"/>
      <c r="S94" s="177"/>
      <c r="T94" s="168"/>
      <c r="U94" s="178"/>
      <c r="V94" s="177"/>
      <c r="W94" s="4"/>
      <c r="X94" s="141"/>
      <c r="Y94" s="142"/>
    </row>
    <row r="95" spans="3:25" x14ac:dyDescent="0.3">
      <c r="C95" s="178"/>
      <c r="D95" s="177"/>
      <c r="F95" s="178"/>
      <c r="G95" s="177"/>
      <c r="H95" s="168"/>
      <c r="I95" s="178"/>
      <c r="J95" s="177"/>
      <c r="K95" s="168"/>
      <c r="L95" s="178"/>
      <c r="M95" s="177"/>
      <c r="N95" s="168"/>
      <c r="O95" s="178"/>
      <c r="P95" s="177"/>
      <c r="Q95" s="168"/>
      <c r="R95" s="178"/>
      <c r="S95" s="177"/>
      <c r="T95" s="168"/>
      <c r="U95" s="178"/>
      <c r="V95" s="177"/>
      <c r="W95" s="4"/>
      <c r="X95" s="141"/>
      <c r="Y95" s="142"/>
    </row>
    <row r="96" spans="3:25" x14ac:dyDescent="0.3">
      <c r="C96" s="178"/>
      <c r="D96" s="177"/>
      <c r="F96" s="178"/>
      <c r="G96" s="177"/>
      <c r="H96" s="168"/>
      <c r="I96" s="178"/>
      <c r="J96" s="177"/>
      <c r="K96" s="168"/>
      <c r="L96" s="178"/>
      <c r="M96" s="177"/>
      <c r="N96" s="168"/>
      <c r="O96" s="178"/>
      <c r="P96" s="177"/>
      <c r="Q96" s="168"/>
      <c r="R96" s="178"/>
      <c r="S96" s="177"/>
      <c r="T96" s="168"/>
      <c r="U96" s="178"/>
      <c r="V96" s="177"/>
      <c r="W96" s="4"/>
      <c r="X96" s="141"/>
      <c r="Y96" s="142"/>
    </row>
    <row r="97" spans="3:25" x14ac:dyDescent="0.3">
      <c r="C97" s="178"/>
      <c r="D97" s="177"/>
      <c r="F97" s="178"/>
      <c r="G97" s="177"/>
      <c r="H97" s="168"/>
      <c r="I97" s="178"/>
      <c r="J97" s="177"/>
      <c r="K97" s="168"/>
      <c r="L97" s="178"/>
      <c r="M97" s="177"/>
      <c r="N97" s="168"/>
      <c r="O97" s="178"/>
      <c r="P97" s="177"/>
      <c r="Q97" s="168"/>
      <c r="R97" s="178"/>
      <c r="S97" s="177"/>
      <c r="T97" s="168"/>
      <c r="U97" s="178"/>
      <c r="V97" s="177"/>
      <c r="W97" s="4"/>
      <c r="X97" s="141"/>
      <c r="Y97" s="142"/>
    </row>
    <row r="98" spans="3:25" x14ac:dyDescent="0.3">
      <c r="C98" s="178"/>
      <c r="D98" s="177"/>
      <c r="F98" s="178"/>
      <c r="G98" s="177"/>
      <c r="H98" s="168"/>
      <c r="I98" s="178"/>
      <c r="J98" s="177"/>
      <c r="K98" s="168"/>
      <c r="L98" s="178"/>
      <c r="M98" s="177"/>
      <c r="N98" s="168"/>
      <c r="O98" s="178"/>
      <c r="P98" s="177"/>
      <c r="Q98" s="168"/>
      <c r="R98" s="178"/>
      <c r="S98" s="177"/>
      <c r="T98" s="168"/>
      <c r="U98" s="178"/>
      <c r="V98" s="177"/>
      <c r="W98" s="4"/>
      <c r="X98" s="141"/>
      <c r="Y98" s="142"/>
    </row>
    <row r="99" spans="3:25" x14ac:dyDescent="0.3">
      <c r="C99" s="178"/>
      <c r="D99" s="177"/>
      <c r="F99" s="178"/>
      <c r="G99" s="177"/>
      <c r="H99" s="168"/>
      <c r="I99" s="178"/>
      <c r="J99" s="177"/>
      <c r="K99" s="168"/>
      <c r="L99" s="178"/>
      <c r="M99" s="177"/>
      <c r="N99" s="168"/>
      <c r="O99" s="178"/>
      <c r="P99" s="177"/>
      <c r="Q99" s="168"/>
      <c r="R99" s="178"/>
      <c r="S99" s="177"/>
      <c r="T99" s="168"/>
      <c r="U99" s="178"/>
      <c r="V99" s="177"/>
      <c r="W99" s="4"/>
      <c r="X99" s="141"/>
      <c r="Y99" s="142"/>
    </row>
    <row r="100" spans="3:25" x14ac:dyDescent="0.3">
      <c r="C100" s="178"/>
      <c r="D100" s="177"/>
      <c r="F100" s="178"/>
      <c r="G100" s="177"/>
      <c r="H100" s="168"/>
      <c r="I100" s="178"/>
      <c r="J100" s="177"/>
      <c r="K100" s="168"/>
      <c r="L100" s="178"/>
      <c r="M100" s="177"/>
      <c r="N100" s="168"/>
      <c r="O100" s="178"/>
      <c r="P100" s="177"/>
      <c r="Q100" s="168"/>
      <c r="R100" s="178"/>
      <c r="S100" s="177"/>
      <c r="T100" s="168"/>
      <c r="U100" s="178"/>
      <c r="V100" s="177"/>
      <c r="W100" s="4"/>
      <c r="X100" s="141"/>
      <c r="Y100" s="142"/>
    </row>
    <row r="101" spans="3:25" x14ac:dyDescent="0.3">
      <c r="C101" s="178"/>
      <c r="D101" s="177"/>
      <c r="F101" s="178"/>
      <c r="G101" s="177"/>
      <c r="H101" s="168"/>
      <c r="I101" s="178"/>
      <c r="J101" s="177"/>
      <c r="K101" s="168"/>
      <c r="L101" s="178"/>
      <c r="M101" s="177"/>
      <c r="N101" s="168"/>
      <c r="O101" s="178"/>
      <c r="P101" s="177"/>
      <c r="Q101" s="168"/>
      <c r="R101" s="178"/>
      <c r="S101" s="177"/>
      <c r="T101" s="168"/>
      <c r="U101" s="178"/>
      <c r="V101" s="177"/>
      <c r="W101" s="4"/>
      <c r="X101" s="141"/>
      <c r="Y101" s="142"/>
    </row>
    <row r="102" spans="3:25" x14ac:dyDescent="0.3">
      <c r="C102" s="178"/>
      <c r="D102" s="177"/>
      <c r="F102" s="178"/>
      <c r="G102" s="177"/>
      <c r="H102" s="168"/>
      <c r="I102" s="178"/>
      <c r="J102" s="177"/>
      <c r="K102" s="168"/>
      <c r="L102" s="178"/>
      <c r="M102" s="177"/>
      <c r="N102" s="168"/>
      <c r="O102" s="178"/>
      <c r="P102" s="177"/>
      <c r="Q102" s="168"/>
      <c r="R102" s="178"/>
      <c r="S102" s="177"/>
      <c r="T102" s="168"/>
      <c r="U102" s="178"/>
      <c r="V102" s="177"/>
      <c r="W102" s="4"/>
      <c r="X102" s="141"/>
      <c r="Y102" s="142"/>
    </row>
    <row r="103" spans="3:25" x14ac:dyDescent="0.3">
      <c r="C103" s="178"/>
      <c r="D103" s="177"/>
      <c r="F103" s="178"/>
      <c r="G103" s="177"/>
      <c r="H103" s="168"/>
      <c r="I103" s="178"/>
      <c r="J103" s="177"/>
      <c r="K103" s="168"/>
      <c r="L103" s="178"/>
      <c r="M103" s="177"/>
      <c r="N103" s="168"/>
      <c r="O103" s="178"/>
      <c r="P103" s="177"/>
      <c r="Q103" s="168"/>
      <c r="R103" s="178"/>
      <c r="S103" s="177"/>
      <c r="T103" s="168"/>
      <c r="U103" s="178"/>
      <c r="V103" s="177"/>
      <c r="W103" s="4"/>
      <c r="X103" s="141"/>
      <c r="Y103" s="142"/>
    </row>
    <row r="104" spans="3:25" x14ac:dyDescent="0.3">
      <c r="C104" s="178"/>
      <c r="D104" s="177"/>
      <c r="F104" s="178"/>
      <c r="G104" s="177"/>
      <c r="H104" s="168"/>
      <c r="I104" s="178"/>
      <c r="J104" s="177"/>
      <c r="K104" s="168"/>
      <c r="L104" s="178"/>
      <c r="M104" s="177"/>
      <c r="N104" s="168"/>
      <c r="O104" s="178"/>
      <c r="P104" s="177"/>
      <c r="Q104" s="168"/>
      <c r="R104" s="178"/>
      <c r="S104" s="177"/>
      <c r="T104" s="168"/>
      <c r="U104" s="178"/>
      <c r="V104" s="177"/>
      <c r="W104" s="4"/>
      <c r="X104" s="141"/>
      <c r="Y104" s="142"/>
    </row>
    <row r="105" spans="3:25" x14ac:dyDescent="0.3">
      <c r="C105" s="178"/>
      <c r="D105" s="177"/>
      <c r="F105" s="178"/>
      <c r="G105" s="177"/>
      <c r="H105" s="168"/>
      <c r="I105" s="178"/>
      <c r="J105" s="177"/>
      <c r="K105" s="168"/>
      <c r="L105" s="178"/>
      <c r="M105" s="177"/>
      <c r="N105" s="168"/>
      <c r="O105" s="178"/>
      <c r="P105" s="177"/>
      <c r="Q105" s="168"/>
      <c r="R105" s="178"/>
      <c r="S105" s="177"/>
      <c r="T105" s="168"/>
      <c r="U105" s="178"/>
      <c r="V105" s="177"/>
      <c r="W105" s="4"/>
      <c r="X105" s="141"/>
      <c r="Y105" s="142"/>
    </row>
    <row r="106" spans="3:25" x14ac:dyDescent="0.3">
      <c r="C106" s="178"/>
      <c r="D106" s="177"/>
      <c r="F106" s="178"/>
      <c r="G106" s="177"/>
      <c r="H106" s="168"/>
      <c r="I106" s="178"/>
      <c r="J106" s="177"/>
      <c r="K106" s="168"/>
      <c r="L106" s="178"/>
      <c r="M106" s="177"/>
      <c r="N106" s="168"/>
      <c r="O106" s="178"/>
      <c r="P106" s="177"/>
      <c r="Q106" s="168"/>
      <c r="R106" s="178"/>
      <c r="S106" s="177"/>
      <c r="T106" s="168"/>
      <c r="U106" s="178"/>
      <c r="V106" s="177"/>
      <c r="W106" s="4"/>
      <c r="X106" s="141"/>
      <c r="Y106" s="142"/>
    </row>
    <row r="107" spans="3:25" x14ac:dyDescent="0.3">
      <c r="C107" s="178"/>
      <c r="D107" s="177"/>
      <c r="F107" s="178"/>
      <c r="G107" s="177"/>
      <c r="H107" s="168"/>
      <c r="I107" s="178"/>
      <c r="J107" s="177"/>
      <c r="K107" s="168"/>
      <c r="L107" s="178"/>
      <c r="M107" s="177"/>
      <c r="N107" s="168"/>
      <c r="O107" s="178"/>
      <c r="P107" s="177"/>
      <c r="Q107" s="168"/>
      <c r="R107" s="178"/>
      <c r="S107" s="177"/>
      <c r="T107" s="168"/>
      <c r="U107" s="178"/>
      <c r="V107" s="177"/>
      <c r="W107" s="4"/>
      <c r="X107" s="141"/>
      <c r="Y107" s="142"/>
    </row>
    <row r="108" spans="3:25" x14ac:dyDescent="0.3">
      <c r="C108" s="178"/>
      <c r="D108" s="177"/>
      <c r="F108" s="178"/>
      <c r="G108" s="177"/>
      <c r="H108" s="168"/>
      <c r="I108" s="178"/>
      <c r="J108" s="177"/>
      <c r="K108" s="168"/>
      <c r="L108" s="178"/>
      <c r="M108" s="177"/>
      <c r="N108" s="168"/>
      <c r="O108" s="178"/>
      <c r="P108" s="177"/>
      <c r="Q108" s="168"/>
      <c r="R108" s="178"/>
      <c r="S108" s="177"/>
      <c r="T108" s="168"/>
      <c r="U108" s="178"/>
      <c r="V108" s="177"/>
      <c r="W108" s="4"/>
      <c r="X108" s="141"/>
      <c r="Y108" s="142"/>
    </row>
    <row r="109" spans="3:25" x14ac:dyDescent="0.3">
      <c r="C109" s="178"/>
      <c r="D109" s="177"/>
      <c r="F109" s="178"/>
      <c r="G109" s="177"/>
      <c r="H109" s="168"/>
      <c r="I109" s="178"/>
      <c r="J109" s="177"/>
      <c r="K109" s="168"/>
      <c r="L109" s="178"/>
      <c r="M109" s="177"/>
      <c r="N109" s="168"/>
      <c r="O109" s="178"/>
      <c r="P109" s="177"/>
      <c r="Q109" s="168"/>
      <c r="R109" s="178"/>
      <c r="S109" s="177"/>
      <c r="T109" s="168"/>
      <c r="U109" s="178"/>
      <c r="V109" s="177"/>
      <c r="W109" s="4"/>
      <c r="X109" s="141"/>
      <c r="Y109" s="142"/>
    </row>
    <row r="110" spans="3:25" x14ac:dyDescent="0.3">
      <c r="C110" s="178"/>
      <c r="D110" s="177"/>
      <c r="F110" s="178"/>
      <c r="G110" s="177"/>
      <c r="H110" s="168"/>
      <c r="I110" s="178"/>
      <c r="J110" s="177"/>
      <c r="K110" s="168"/>
      <c r="L110" s="178"/>
      <c r="M110" s="177"/>
      <c r="N110" s="168"/>
      <c r="O110" s="178"/>
      <c r="P110" s="177"/>
      <c r="Q110" s="168"/>
      <c r="R110" s="178"/>
      <c r="S110" s="177"/>
      <c r="T110" s="168"/>
      <c r="U110" s="178"/>
      <c r="V110" s="177"/>
      <c r="W110" s="4"/>
      <c r="X110" s="141"/>
      <c r="Y110" s="142"/>
    </row>
    <row r="111" spans="3:25" x14ac:dyDescent="0.3">
      <c r="C111" s="178"/>
      <c r="D111" s="177"/>
      <c r="F111" s="178"/>
      <c r="G111" s="177"/>
      <c r="H111" s="168"/>
      <c r="I111" s="178"/>
      <c r="J111" s="177"/>
      <c r="K111" s="168"/>
      <c r="L111" s="178"/>
      <c r="M111" s="177"/>
      <c r="N111" s="168"/>
      <c r="O111" s="178"/>
      <c r="P111" s="177"/>
      <c r="Q111" s="168"/>
      <c r="R111" s="178"/>
      <c r="S111" s="177"/>
      <c r="T111" s="168"/>
      <c r="U111" s="178"/>
      <c r="V111" s="177"/>
      <c r="W111" s="4"/>
      <c r="X111" s="141"/>
      <c r="Y111" s="142"/>
    </row>
    <row r="112" spans="3:25" x14ac:dyDescent="0.3">
      <c r="C112" s="178"/>
      <c r="D112" s="177"/>
      <c r="F112" s="178"/>
      <c r="G112" s="177"/>
      <c r="H112" s="168"/>
      <c r="I112" s="178"/>
      <c r="J112" s="177"/>
      <c r="K112" s="168"/>
      <c r="L112" s="178"/>
      <c r="M112" s="177"/>
      <c r="N112" s="168"/>
      <c r="O112" s="178"/>
      <c r="P112" s="177"/>
      <c r="Q112" s="168"/>
      <c r="R112" s="178"/>
      <c r="S112" s="177"/>
      <c r="T112" s="168"/>
      <c r="U112" s="178"/>
      <c r="V112" s="177"/>
      <c r="W112" s="4"/>
      <c r="X112" s="141"/>
      <c r="Y112" s="142"/>
    </row>
    <row r="113" spans="3:25" x14ac:dyDescent="0.3">
      <c r="C113" s="178"/>
      <c r="D113" s="177"/>
      <c r="F113" s="178"/>
      <c r="G113" s="177"/>
      <c r="H113" s="168"/>
      <c r="I113" s="178"/>
      <c r="J113" s="177"/>
      <c r="K113" s="168"/>
      <c r="L113" s="178"/>
      <c r="M113" s="177"/>
      <c r="N113" s="168"/>
      <c r="O113" s="178"/>
      <c r="P113" s="177"/>
      <c r="Q113" s="168"/>
      <c r="R113" s="178"/>
      <c r="S113" s="177"/>
      <c r="T113" s="168"/>
      <c r="U113" s="178"/>
      <c r="V113" s="177"/>
      <c r="W113" s="4"/>
      <c r="X113" s="141"/>
      <c r="Y113" s="142"/>
    </row>
    <row r="114" spans="3:25" x14ac:dyDescent="0.3">
      <c r="C114" s="178"/>
      <c r="D114" s="177"/>
      <c r="F114" s="178"/>
      <c r="G114" s="177"/>
      <c r="H114" s="168"/>
      <c r="I114" s="178"/>
      <c r="J114" s="177"/>
      <c r="K114" s="168"/>
      <c r="L114" s="178"/>
      <c r="M114" s="177"/>
      <c r="N114" s="168"/>
      <c r="O114" s="178"/>
      <c r="P114" s="177"/>
      <c r="Q114" s="168"/>
      <c r="R114" s="178"/>
      <c r="S114" s="177"/>
      <c r="T114" s="168"/>
      <c r="U114" s="178"/>
      <c r="V114" s="177"/>
      <c r="W114" s="4"/>
      <c r="X114" s="141"/>
      <c r="Y114" s="142"/>
    </row>
    <row r="115" spans="3:25" x14ac:dyDescent="0.3">
      <c r="C115" s="178"/>
      <c r="D115" s="177"/>
      <c r="F115" s="178"/>
      <c r="G115" s="177"/>
      <c r="H115" s="168"/>
      <c r="I115" s="178"/>
      <c r="J115" s="177"/>
      <c r="K115" s="168"/>
      <c r="L115" s="178"/>
      <c r="M115" s="177"/>
      <c r="N115" s="168"/>
      <c r="O115" s="178"/>
      <c r="P115" s="177"/>
      <c r="Q115" s="168"/>
      <c r="R115" s="178"/>
      <c r="S115" s="177"/>
      <c r="T115" s="168"/>
      <c r="U115" s="178"/>
      <c r="V115" s="177"/>
      <c r="W115" s="4"/>
      <c r="X115" s="141"/>
      <c r="Y115" s="142"/>
    </row>
    <row r="116" spans="3:25" x14ac:dyDescent="0.3">
      <c r="C116" s="178"/>
      <c r="D116" s="177"/>
      <c r="F116" s="178"/>
      <c r="G116" s="177"/>
      <c r="H116" s="168"/>
      <c r="I116" s="178"/>
      <c r="J116" s="177"/>
      <c r="K116" s="168"/>
      <c r="L116" s="178"/>
      <c r="M116" s="177"/>
      <c r="N116" s="168"/>
      <c r="O116" s="178"/>
      <c r="P116" s="177"/>
      <c r="Q116" s="168"/>
      <c r="R116" s="178"/>
      <c r="S116" s="177"/>
      <c r="T116" s="168"/>
      <c r="U116" s="178"/>
      <c r="V116" s="177"/>
      <c r="W116" s="4"/>
      <c r="X116" s="141"/>
      <c r="Y116" s="142"/>
    </row>
    <row r="117" spans="3:25" x14ac:dyDescent="0.3">
      <c r="C117" s="178"/>
      <c r="D117" s="177"/>
      <c r="F117" s="178"/>
      <c r="G117" s="177"/>
      <c r="H117" s="168"/>
      <c r="I117" s="178"/>
      <c r="J117" s="177"/>
      <c r="K117" s="168"/>
      <c r="L117" s="178"/>
      <c r="M117" s="177"/>
      <c r="N117" s="168"/>
      <c r="O117" s="178"/>
      <c r="P117" s="177"/>
      <c r="Q117" s="168"/>
      <c r="R117" s="178"/>
      <c r="S117" s="177"/>
      <c r="T117" s="168"/>
      <c r="U117" s="178"/>
      <c r="V117" s="177"/>
      <c r="W117" s="4"/>
      <c r="X117" s="141"/>
      <c r="Y117" s="142"/>
    </row>
    <row r="118" spans="3:25" x14ac:dyDescent="0.3">
      <c r="C118" s="178"/>
      <c r="D118" s="177"/>
      <c r="F118" s="178"/>
      <c r="G118" s="177"/>
      <c r="H118" s="168"/>
      <c r="I118" s="178"/>
      <c r="J118" s="177"/>
      <c r="K118" s="168"/>
      <c r="L118" s="178"/>
      <c r="M118" s="177"/>
      <c r="N118" s="168"/>
      <c r="O118" s="178"/>
      <c r="P118" s="177"/>
      <c r="Q118" s="168"/>
      <c r="R118" s="178"/>
      <c r="S118" s="177"/>
      <c r="T118" s="168"/>
      <c r="U118" s="178"/>
      <c r="V118" s="177"/>
      <c r="W118" s="4"/>
      <c r="X118" s="141"/>
      <c r="Y118" s="142"/>
    </row>
    <row r="119" spans="3:25" x14ac:dyDescent="0.3">
      <c r="C119" s="178"/>
      <c r="D119" s="177"/>
      <c r="F119" s="178"/>
      <c r="G119" s="177"/>
      <c r="H119" s="168"/>
      <c r="I119" s="178"/>
      <c r="J119" s="177"/>
      <c r="K119" s="168"/>
      <c r="L119" s="178"/>
      <c r="M119" s="177"/>
      <c r="N119" s="168"/>
      <c r="O119" s="178"/>
      <c r="P119" s="177"/>
      <c r="Q119" s="168"/>
      <c r="R119" s="178"/>
      <c r="S119" s="177"/>
      <c r="T119" s="168"/>
      <c r="U119" s="178"/>
      <c r="V119" s="177"/>
      <c r="W119" s="4"/>
      <c r="X119" s="141"/>
      <c r="Y119" s="142"/>
    </row>
    <row r="120" spans="3:25" x14ac:dyDescent="0.3">
      <c r="C120" s="178"/>
      <c r="D120" s="177"/>
      <c r="F120" s="178"/>
      <c r="G120" s="177"/>
      <c r="H120" s="168"/>
      <c r="I120" s="178"/>
      <c r="J120" s="177"/>
      <c r="K120" s="168"/>
      <c r="L120" s="178"/>
      <c r="M120" s="177"/>
      <c r="N120" s="168"/>
      <c r="O120" s="178"/>
      <c r="P120" s="177"/>
      <c r="Q120" s="168"/>
      <c r="R120" s="178"/>
      <c r="S120" s="177"/>
      <c r="T120" s="168"/>
      <c r="U120" s="178"/>
      <c r="V120" s="177"/>
      <c r="W120" s="4"/>
      <c r="X120" s="141"/>
      <c r="Y120" s="142"/>
    </row>
    <row r="121" spans="3:25" x14ac:dyDescent="0.3">
      <c r="C121" s="178"/>
      <c r="D121" s="177"/>
      <c r="F121" s="178"/>
      <c r="G121" s="177"/>
      <c r="H121" s="168"/>
      <c r="I121" s="178"/>
      <c r="J121" s="177"/>
      <c r="K121" s="168"/>
      <c r="L121" s="178"/>
      <c r="M121" s="177"/>
      <c r="N121" s="168"/>
      <c r="O121" s="178"/>
      <c r="P121" s="177"/>
      <c r="Q121" s="168"/>
      <c r="R121" s="178"/>
      <c r="S121" s="177"/>
      <c r="T121" s="168"/>
      <c r="U121" s="178"/>
      <c r="V121" s="177"/>
      <c r="W121" s="4"/>
      <c r="X121" s="141"/>
      <c r="Y121" s="142"/>
    </row>
    <row r="122" spans="3:25" x14ac:dyDescent="0.3">
      <c r="C122" s="178"/>
      <c r="D122" s="177"/>
      <c r="F122" s="178"/>
      <c r="G122" s="177"/>
      <c r="H122" s="168"/>
      <c r="I122" s="178"/>
      <c r="J122" s="177"/>
      <c r="K122" s="168"/>
      <c r="L122" s="178"/>
      <c r="M122" s="177"/>
      <c r="N122" s="168"/>
      <c r="O122" s="178"/>
      <c r="P122" s="177"/>
      <c r="Q122" s="168"/>
      <c r="R122" s="178"/>
      <c r="S122" s="177"/>
      <c r="T122" s="168"/>
      <c r="U122" s="178"/>
      <c r="V122" s="177"/>
      <c r="W122" s="4"/>
      <c r="X122" s="141"/>
      <c r="Y122" s="142"/>
    </row>
    <row r="123" spans="3:25" x14ac:dyDescent="0.3">
      <c r="C123" s="178"/>
      <c r="D123" s="177"/>
      <c r="F123" s="178"/>
      <c r="G123" s="177"/>
      <c r="H123" s="168"/>
      <c r="I123" s="178"/>
      <c r="J123" s="177"/>
      <c r="K123" s="168"/>
      <c r="L123" s="178"/>
      <c r="M123" s="177"/>
      <c r="N123" s="168"/>
      <c r="O123" s="178"/>
      <c r="P123" s="177"/>
      <c r="Q123" s="168"/>
      <c r="R123" s="178"/>
      <c r="S123" s="177"/>
      <c r="T123" s="168"/>
      <c r="U123" s="178"/>
      <c r="V123" s="177"/>
      <c r="W123" s="4"/>
      <c r="X123" s="141"/>
      <c r="Y123" s="142"/>
    </row>
    <row r="124" spans="3:25" x14ac:dyDescent="0.3">
      <c r="C124" s="178"/>
      <c r="D124" s="177"/>
      <c r="F124" s="178"/>
      <c r="G124" s="177"/>
      <c r="H124" s="168"/>
      <c r="I124" s="178"/>
      <c r="J124" s="177"/>
      <c r="K124" s="168"/>
      <c r="L124" s="178"/>
      <c r="M124" s="177"/>
      <c r="N124" s="168"/>
      <c r="O124" s="178"/>
      <c r="P124" s="177"/>
      <c r="Q124" s="168"/>
      <c r="R124" s="178"/>
      <c r="S124" s="177"/>
      <c r="T124" s="168"/>
      <c r="U124" s="178"/>
      <c r="V124" s="177"/>
      <c r="W124" s="4"/>
      <c r="X124" s="141"/>
      <c r="Y124" s="142"/>
    </row>
    <row r="125" spans="3:25" x14ac:dyDescent="0.3">
      <c r="C125" s="178"/>
      <c r="D125" s="177"/>
      <c r="F125" s="178"/>
      <c r="G125" s="177"/>
      <c r="H125" s="168"/>
      <c r="I125" s="178"/>
      <c r="J125" s="177"/>
      <c r="K125" s="168"/>
      <c r="L125" s="178"/>
      <c r="M125" s="177"/>
      <c r="N125" s="168"/>
      <c r="O125" s="178"/>
      <c r="P125" s="177"/>
      <c r="Q125" s="168"/>
      <c r="R125" s="178"/>
      <c r="S125" s="177"/>
      <c r="T125" s="168"/>
      <c r="U125" s="178"/>
      <c r="V125" s="177"/>
      <c r="W125" s="4"/>
      <c r="X125" s="141"/>
      <c r="Y125" s="142"/>
    </row>
    <row r="126" spans="3:25" x14ac:dyDescent="0.3">
      <c r="C126" s="178"/>
      <c r="D126" s="177"/>
      <c r="F126" s="178"/>
      <c r="G126" s="177"/>
      <c r="H126" s="168"/>
      <c r="I126" s="178"/>
      <c r="J126" s="177"/>
      <c r="K126" s="168"/>
      <c r="L126" s="178"/>
      <c r="M126" s="177"/>
      <c r="N126" s="168"/>
      <c r="O126" s="178"/>
      <c r="P126" s="177"/>
      <c r="Q126" s="168"/>
      <c r="R126" s="178"/>
      <c r="S126" s="177"/>
      <c r="T126" s="168"/>
      <c r="U126" s="178"/>
      <c r="V126" s="177"/>
      <c r="W126" s="4"/>
      <c r="X126" s="141"/>
      <c r="Y126" s="142"/>
    </row>
    <row r="127" spans="3:25" x14ac:dyDescent="0.3">
      <c r="C127" s="178"/>
      <c r="D127" s="177"/>
      <c r="F127" s="178"/>
      <c r="G127" s="177"/>
      <c r="H127" s="168"/>
      <c r="I127" s="178"/>
      <c r="J127" s="177"/>
      <c r="K127" s="168"/>
      <c r="L127" s="178"/>
      <c r="M127" s="177"/>
      <c r="N127" s="168"/>
      <c r="O127" s="178"/>
      <c r="P127" s="177"/>
      <c r="Q127" s="168"/>
      <c r="R127" s="178"/>
      <c r="S127" s="177"/>
      <c r="T127" s="168"/>
      <c r="U127" s="178"/>
      <c r="V127" s="177"/>
      <c r="W127" s="4"/>
      <c r="X127" s="141"/>
      <c r="Y127" s="142"/>
    </row>
    <row r="128" spans="3:25" x14ac:dyDescent="0.3">
      <c r="C128" s="178"/>
      <c r="D128" s="177"/>
      <c r="F128" s="178"/>
      <c r="G128" s="177"/>
      <c r="H128" s="168"/>
      <c r="I128" s="178"/>
      <c r="J128" s="177"/>
      <c r="K128" s="168"/>
      <c r="L128" s="178"/>
      <c r="M128" s="177"/>
      <c r="N128" s="168"/>
      <c r="O128" s="178"/>
      <c r="P128" s="177"/>
      <c r="Q128" s="168"/>
      <c r="R128" s="178"/>
      <c r="S128" s="177"/>
      <c r="T128" s="168"/>
      <c r="U128" s="178"/>
      <c r="V128" s="177"/>
      <c r="W128" s="4"/>
      <c r="X128" s="141"/>
      <c r="Y128" s="142"/>
    </row>
    <row r="129" spans="3:25" x14ac:dyDescent="0.3">
      <c r="C129" s="178"/>
      <c r="D129" s="177"/>
      <c r="F129" s="178"/>
      <c r="G129" s="177"/>
      <c r="H129" s="168"/>
      <c r="I129" s="178"/>
      <c r="J129" s="177"/>
      <c r="K129" s="168"/>
      <c r="L129" s="178"/>
      <c r="M129" s="177"/>
      <c r="N129" s="168"/>
      <c r="O129" s="178"/>
      <c r="P129" s="177"/>
      <c r="Q129" s="168"/>
      <c r="R129" s="178"/>
      <c r="S129" s="177"/>
      <c r="T129" s="168"/>
      <c r="U129" s="178"/>
      <c r="V129" s="177"/>
      <c r="W129" s="4"/>
      <c r="X129" s="141"/>
      <c r="Y129" s="142"/>
    </row>
    <row r="130" spans="3:25" x14ac:dyDescent="0.3">
      <c r="C130" s="178"/>
      <c r="D130" s="177"/>
      <c r="F130" s="178"/>
      <c r="G130" s="177"/>
      <c r="H130" s="168"/>
      <c r="I130" s="178"/>
      <c r="J130" s="177"/>
      <c r="K130" s="168"/>
      <c r="L130" s="178"/>
      <c r="M130" s="177"/>
      <c r="N130" s="168"/>
      <c r="O130" s="178"/>
      <c r="P130" s="177"/>
      <c r="Q130" s="168"/>
      <c r="R130" s="178"/>
      <c r="S130" s="177"/>
      <c r="T130" s="168"/>
      <c r="U130" s="178"/>
      <c r="V130" s="177"/>
      <c r="W130" s="4"/>
      <c r="X130" s="141"/>
      <c r="Y130" s="142"/>
    </row>
    <row r="131" spans="3:25" x14ac:dyDescent="0.3">
      <c r="C131" s="178"/>
      <c r="D131" s="177"/>
      <c r="F131" s="178"/>
      <c r="G131" s="177"/>
      <c r="H131" s="168"/>
      <c r="I131" s="178"/>
      <c r="J131" s="177"/>
      <c r="K131" s="168"/>
      <c r="L131" s="178"/>
      <c r="M131" s="177"/>
      <c r="N131" s="168"/>
      <c r="O131" s="178"/>
      <c r="P131" s="177"/>
      <c r="Q131" s="168"/>
      <c r="R131" s="178"/>
      <c r="S131" s="177"/>
      <c r="T131" s="168"/>
      <c r="U131" s="178"/>
      <c r="V131" s="177"/>
      <c r="W131" s="4"/>
      <c r="X131" s="141"/>
      <c r="Y131" s="142"/>
    </row>
    <row r="132" spans="3:25" x14ac:dyDescent="0.3">
      <c r="C132" s="178"/>
      <c r="D132" s="177"/>
      <c r="F132" s="178"/>
      <c r="G132" s="177"/>
      <c r="H132" s="168"/>
      <c r="I132" s="178"/>
      <c r="J132" s="177"/>
      <c r="K132" s="168"/>
      <c r="L132" s="178"/>
      <c r="M132" s="177"/>
      <c r="N132" s="168"/>
      <c r="O132" s="178"/>
      <c r="P132" s="177"/>
      <c r="Q132" s="168"/>
      <c r="R132" s="178"/>
      <c r="S132" s="177"/>
      <c r="T132" s="168"/>
      <c r="U132" s="178"/>
      <c r="V132" s="177"/>
      <c r="W132" s="4"/>
      <c r="X132" s="141"/>
      <c r="Y132" s="142"/>
    </row>
    <row r="133" spans="3:25" x14ac:dyDescent="0.3">
      <c r="C133" s="178"/>
      <c r="D133" s="177"/>
      <c r="F133" s="178"/>
      <c r="G133" s="177"/>
      <c r="H133" s="168"/>
      <c r="I133" s="178"/>
      <c r="J133" s="177"/>
      <c r="K133" s="168"/>
      <c r="L133" s="178"/>
      <c r="M133" s="177"/>
      <c r="N133" s="168"/>
      <c r="O133" s="178"/>
      <c r="P133" s="177"/>
      <c r="Q133" s="168"/>
      <c r="R133" s="178"/>
      <c r="S133" s="177"/>
      <c r="T133" s="168"/>
      <c r="U133" s="178"/>
      <c r="V133" s="177"/>
      <c r="W133" s="4"/>
      <c r="X133" s="141"/>
      <c r="Y133" s="142"/>
    </row>
    <row r="134" spans="3:25" x14ac:dyDescent="0.3">
      <c r="C134" s="178"/>
      <c r="D134" s="177"/>
      <c r="F134" s="178"/>
      <c r="G134" s="177"/>
      <c r="H134" s="168"/>
      <c r="I134" s="178"/>
      <c r="J134" s="177"/>
      <c r="K134" s="168"/>
      <c r="L134" s="178"/>
      <c r="M134" s="177"/>
      <c r="N134" s="168"/>
      <c r="O134" s="178"/>
      <c r="P134" s="177"/>
      <c r="Q134" s="168"/>
      <c r="R134" s="178"/>
      <c r="S134" s="177"/>
      <c r="T134" s="168"/>
      <c r="U134" s="178"/>
      <c r="V134" s="177"/>
      <c r="W134" s="4"/>
      <c r="X134" s="141"/>
      <c r="Y134" s="142"/>
    </row>
    <row r="135" spans="3:25" x14ac:dyDescent="0.3">
      <c r="C135" s="178"/>
      <c r="D135" s="177"/>
      <c r="F135" s="178"/>
      <c r="G135" s="177"/>
      <c r="H135" s="168"/>
      <c r="I135" s="178"/>
      <c r="J135" s="177"/>
      <c r="K135" s="168"/>
      <c r="L135" s="178"/>
      <c r="M135" s="177"/>
      <c r="N135" s="168"/>
      <c r="O135" s="178"/>
      <c r="P135" s="177"/>
      <c r="Q135" s="168"/>
      <c r="R135" s="178"/>
      <c r="S135" s="177"/>
      <c r="T135" s="168"/>
      <c r="U135" s="178"/>
      <c r="V135" s="177"/>
      <c r="W135" s="4"/>
      <c r="X135" s="141"/>
      <c r="Y135" s="142"/>
    </row>
    <row r="136" spans="3:25" x14ac:dyDescent="0.3">
      <c r="C136" s="178"/>
      <c r="D136" s="177"/>
      <c r="F136" s="178"/>
      <c r="G136" s="177"/>
      <c r="H136" s="168"/>
      <c r="I136" s="178"/>
      <c r="J136" s="177"/>
      <c r="K136" s="168"/>
      <c r="L136" s="178"/>
      <c r="M136" s="177"/>
      <c r="N136" s="168"/>
      <c r="O136" s="178"/>
      <c r="P136" s="177"/>
      <c r="Q136" s="168"/>
      <c r="R136" s="178"/>
      <c r="S136" s="177"/>
      <c r="T136" s="168"/>
      <c r="U136" s="178"/>
      <c r="V136" s="177"/>
      <c r="W136" s="4"/>
      <c r="X136" s="141"/>
      <c r="Y136" s="142"/>
    </row>
    <row r="137" spans="3:25" x14ac:dyDescent="0.3">
      <c r="C137" s="178"/>
      <c r="D137" s="177"/>
      <c r="F137" s="178"/>
      <c r="G137" s="177"/>
      <c r="H137" s="168"/>
      <c r="I137" s="178"/>
      <c r="J137" s="177"/>
      <c r="K137" s="168"/>
      <c r="L137" s="178"/>
      <c r="M137" s="177"/>
      <c r="N137" s="168"/>
      <c r="O137" s="178"/>
      <c r="P137" s="177"/>
      <c r="Q137" s="168"/>
      <c r="R137" s="178"/>
      <c r="S137" s="177"/>
      <c r="T137" s="168"/>
      <c r="U137" s="178"/>
      <c r="V137" s="177"/>
      <c r="W137" s="4"/>
      <c r="X137" s="141"/>
      <c r="Y137" s="142"/>
    </row>
    <row r="138" spans="3:25" x14ac:dyDescent="0.3">
      <c r="C138" s="178"/>
      <c r="D138" s="177"/>
      <c r="F138" s="178"/>
      <c r="G138" s="177"/>
      <c r="H138" s="168"/>
      <c r="I138" s="178"/>
      <c r="J138" s="177"/>
      <c r="K138" s="168"/>
      <c r="L138" s="178"/>
      <c r="M138" s="177"/>
      <c r="N138" s="168"/>
      <c r="O138" s="178"/>
      <c r="P138" s="177"/>
      <c r="Q138" s="168"/>
      <c r="R138" s="178"/>
      <c r="S138" s="177"/>
      <c r="T138" s="168"/>
      <c r="U138" s="178"/>
      <c r="V138" s="177"/>
      <c r="W138" s="4"/>
      <c r="X138" s="141"/>
      <c r="Y138" s="142"/>
    </row>
    <row r="139" spans="3:25" x14ac:dyDescent="0.3">
      <c r="C139" s="178"/>
      <c r="D139" s="177"/>
      <c r="F139" s="178"/>
      <c r="G139" s="177"/>
      <c r="H139" s="168"/>
      <c r="I139" s="178"/>
      <c r="J139" s="177"/>
      <c r="K139" s="168"/>
      <c r="L139" s="178"/>
      <c r="M139" s="177"/>
      <c r="N139" s="168"/>
      <c r="O139" s="178"/>
      <c r="P139" s="177"/>
      <c r="Q139" s="168"/>
      <c r="R139" s="178"/>
      <c r="S139" s="177"/>
      <c r="T139" s="168"/>
      <c r="U139" s="178"/>
      <c r="V139" s="177"/>
      <c r="W139" s="4"/>
      <c r="X139" s="141"/>
      <c r="Y139" s="142"/>
    </row>
    <row r="140" spans="3:25" x14ac:dyDescent="0.3">
      <c r="C140" s="178"/>
      <c r="D140" s="177"/>
      <c r="F140" s="178"/>
      <c r="G140" s="177"/>
      <c r="H140" s="168"/>
      <c r="I140" s="178"/>
      <c r="J140" s="177"/>
      <c r="K140" s="168"/>
      <c r="L140" s="178"/>
      <c r="M140" s="177"/>
      <c r="N140" s="168"/>
      <c r="O140" s="178"/>
      <c r="P140" s="177"/>
      <c r="Q140" s="168"/>
      <c r="R140" s="178"/>
      <c r="S140" s="177"/>
      <c r="T140" s="168"/>
      <c r="U140" s="178"/>
      <c r="V140" s="177"/>
      <c r="W140" s="4"/>
      <c r="X140" s="141"/>
      <c r="Y140" s="142"/>
    </row>
    <row r="141" spans="3:25" x14ac:dyDescent="0.3">
      <c r="C141" s="178"/>
      <c r="D141" s="177"/>
      <c r="F141" s="178"/>
      <c r="G141" s="177"/>
      <c r="H141" s="168"/>
      <c r="I141" s="178"/>
      <c r="J141" s="177"/>
      <c r="K141" s="168"/>
      <c r="L141" s="178"/>
      <c r="M141" s="177"/>
      <c r="N141" s="168"/>
      <c r="O141" s="178"/>
      <c r="P141" s="177"/>
      <c r="Q141" s="168"/>
      <c r="R141" s="178"/>
      <c r="S141" s="177"/>
      <c r="T141" s="168"/>
      <c r="U141" s="178"/>
      <c r="V141" s="177"/>
      <c r="W141" s="4"/>
      <c r="X141" s="141"/>
      <c r="Y141" s="142"/>
    </row>
    <row r="142" spans="3:25" x14ac:dyDescent="0.3">
      <c r="C142" s="178"/>
      <c r="D142" s="177"/>
      <c r="F142" s="178"/>
      <c r="G142" s="177"/>
      <c r="H142" s="168"/>
      <c r="I142" s="178"/>
      <c r="J142" s="177"/>
      <c r="K142" s="168"/>
      <c r="L142" s="178"/>
      <c r="M142" s="177"/>
      <c r="N142" s="168"/>
      <c r="O142" s="178"/>
      <c r="P142" s="177"/>
      <c r="Q142" s="168"/>
      <c r="R142" s="178"/>
      <c r="S142" s="177"/>
      <c r="T142" s="168"/>
      <c r="U142" s="178"/>
      <c r="V142" s="177"/>
      <c r="W142" s="4"/>
      <c r="X142" s="141"/>
      <c r="Y142" s="142"/>
    </row>
    <row r="143" spans="3:25" x14ac:dyDescent="0.3">
      <c r="C143" s="178"/>
      <c r="D143" s="177"/>
      <c r="F143" s="178"/>
      <c r="G143" s="177"/>
      <c r="H143" s="168"/>
      <c r="I143" s="178"/>
      <c r="J143" s="177"/>
      <c r="K143" s="168"/>
      <c r="L143" s="178"/>
      <c r="M143" s="177"/>
      <c r="N143" s="168"/>
      <c r="O143" s="178"/>
      <c r="P143" s="177"/>
      <c r="Q143" s="168"/>
      <c r="R143" s="178"/>
      <c r="S143" s="177"/>
      <c r="T143" s="168"/>
      <c r="U143" s="178"/>
      <c r="V143" s="177"/>
      <c r="W143" s="4"/>
      <c r="X143" s="141"/>
      <c r="Y143" s="142"/>
    </row>
    <row r="144" spans="3:25" x14ac:dyDescent="0.3">
      <c r="C144" s="178"/>
      <c r="D144" s="177"/>
      <c r="F144" s="178"/>
      <c r="G144" s="177"/>
      <c r="H144" s="168"/>
      <c r="I144" s="178"/>
      <c r="J144" s="177"/>
      <c r="K144" s="168"/>
      <c r="L144" s="178"/>
      <c r="M144" s="177"/>
      <c r="N144" s="168"/>
      <c r="O144" s="178"/>
      <c r="P144" s="177"/>
      <c r="Q144" s="168"/>
      <c r="R144" s="178"/>
      <c r="S144" s="177"/>
      <c r="T144" s="168"/>
      <c r="U144" s="178"/>
      <c r="V144" s="177"/>
      <c r="W144" s="4"/>
      <c r="X144" s="141"/>
      <c r="Y144" s="142"/>
    </row>
    <row r="145" spans="3:25" x14ac:dyDescent="0.3">
      <c r="C145" s="178"/>
      <c r="D145" s="177"/>
      <c r="F145" s="178"/>
      <c r="G145" s="177"/>
      <c r="H145" s="168"/>
      <c r="I145" s="178"/>
      <c r="J145" s="177"/>
      <c r="K145" s="168"/>
      <c r="L145" s="178"/>
      <c r="M145" s="177"/>
      <c r="N145" s="168"/>
      <c r="O145" s="178"/>
      <c r="P145" s="177"/>
      <c r="Q145" s="168"/>
      <c r="R145" s="178"/>
      <c r="S145" s="177"/>
      <c r="T145" s="168"/>
      <c r="U145" s="178"/>
      <c r="V145" s="177"/>
      <c r="W145" s="4"/>
      <c r="X145" s="141"/>
      <c r="Y145" s="142"/>
    </row>
    <row r="146" spans="3:25" x14ac:dyDescent="0.3">
      <c r="C146" s="178"/>
      <c r="D146" s="177"/>
      <c r="F146" s="178"/>
      <c r="G146" s="177"/>
      <c r="H146" s="168"/>
      <c r="I146" s="178"/>
      <c r="J146" s="177"/>
      <c r="K146" s="168"/>
      <c r="L146" s="178"/>
      <c r="M146" s="177"/>
      <c r="N146" s="168"/>
      <c r="O146" s="178"/>
      <c r="P146" s="177"/>
      <c r="Q146" s="168"/>
      <c r="R146" s="178"/>
      <c r="S146" s="177"/>
      <c r="T146" s="168"/>
      <c r="U146" s="178"/>
      <c r="V146" s="177"/>
      <c r="W146" s="4"/>
      <c r="X146" s="141"/>
      <c r="Y146" s="142"/>
    </row>
    <row r="147" spans="3:25" x14ac:dyDescent="0.3">
      <c r="C147" s="178"/>
      <c r="D147" s="177"/>
      <c r="F147" s="178"/>
      <c r="G147" s="177"/>
      <c r="H147" s="168"/>
      <c r="I147" s="178"/>
      <c r="J147" s="177"/>
      <c r="K147" s="168"/>
      <c r="L147" s="178"/>
      <c r="M147" s="177"/>
      <c r="N147" s="168"/>
      <c r="O147" s="178"/>
      <c r="P147" s="177"/>
      <c r="Q147" s="168"/>
      <c r="R147" s="178"/>
      <c r="S147" s="177"/>
      <c r="T147" s="168"/>
      <c r="U147" s="178"/>
      <c r="V147" s="177"/>
      <c r="W147" s="4"/>
      <c r="X147" s="141"/>
      <c r="Y147" s="142"/>
    </row>
    <row r="148" spans="3:25" x14ac:dyDescent="0.3">
      <c r="C148" s="178"/>
      <c r="D148" s="177"/>
      <c r="F148" s="178"/>
      <c r="G148" s="177"/>
      <c r="H148" s="168"/>
      <c r="I148" s="178"/>
      <c r="J148" s="177"/>
      <c r="K148" s="168"/>
      <c r="L148" s="178"/>
      <c r="M148" s="177"/>
      <c r="N148" s="168"/>
      <c r="O148" s="178"/>
      <c r="P148" s="177"/>
      <c r="Q148" s="168"/>
      <c r="R148" s="178"/>
      <c r="S148" s="177"/>
      <c r="T148" s="168"/>
      <c r="U148" s="178"/>
      <c r="V148" s="177"/>
      <c r="W148" s="4"/>
      <c r="X148" s="141"/>
      <c r="Y148" s="142"/>
    </row>
    <row r="149" spans="3:25" x14ac:dyDescent="0.3">
      <c r="C149" s="178"/>
      <c r="D149" s="177"/>
      <c r="F149" s="178"/>
      <c r="G149" s="177"/>
      <c r="H149" s="168"/>
      <c r="I149" s="178"/>
      <c r="J149" s="177"/>
      <c r="K149" s="168"/>
      <c r="L149" s="178"/>
      <c r="M149" s="177"/>
      <c r="N149" s="168"/>
      <c r="O149" s="178"/>
      <c r="P149" s="177"/>
      <c r="Q149" s="168"/>
      <c r="R149" s="178"/>
      <c r="S149" s="177"/>
      <c r="T149" s="168"/>
      <c r="U149" s="178"/>
      <c r="V149" s="177"/>
      <c r="W149" s="4"/>
      <c r="X149" s="141"/>
      <c r="Y149" s="142"/>
    </row>
    <row r="150" spans="3:25" x14ac:dyDescent="0.3">
      <c r="C150" s="178"/>
      <c r="D150" s="177"/>
      <c r="F150" s="178"/>
      <c r="G150" s="177"/>
      <c r="H150" s="168"/>
      <c r="I150" s="178"/>
      <c r="J150" s="177"/>
      <c r="K150" s="168"/>
      <c r="L150" s="178"/>
      <c r="M150" s="177"/>
      <c r="N150" s="168"/>
      <c r="O150" s="178"/>
      <c r="P150" s="177"/>
      <c r="Q150" s="168"/>
      <c r="R150" s="178"/>
      <c r="S150" s="177"/>
      <c r="T150" s="168"/>
      <c r="U150" s="178"/>
      <c r="V150" s="177"/>
      <c r="W150" s="4"/>
      <c r="X150" s="141"/>
      <c r="Y150" s="142"/>
    </row>
    <row r="151" spans="3:25" x14ac:dyDescent="0.3">
      <c r="C151" s="178"/>
      <c r="D151" s="177"/>
      <c r="F151" s="178"/>
      <c r="G151" s="177"/>
      <c r="H151" s="168"/>
      <c r="I151" s="178"/>
      <c r="J151" s="177"/>
      <c r="K151" s="168"/>
      <c r="L151" s="178"/>
      <c r="M151" s="177"/>
      <c r="N151" s="168"/>
      <c r="O151" s="178"/>
      <c r="P151" s="177"/>
      <c r="Q151" s="168"/>
      <c r="R151" s="178"/>
      <c r="S151" s="177"/>
      <c r="T151" s="168"/>
      <c r="U151" s="178"/>
      <c r="V151" s="177"/>
      <c r="W151" s="4"/>
      <c r="X151" s="141"/>
      <c r="Y151" s="142"/>
    </row>
    <row r="152" spans="3:25" x14ac:dyDescent="0.3">
      <c r="C152" s="178"/>
      <c r="D152" s="177"/>
      <c r="F152" s="178"/>
      <c r="G152" s="177"/>
      <c r="H152" s="168"/>
      <c r="I152" s="178"/>
      <c r="J152" s="177"/>
      <c r="K152" s="168"/>
      <c r="L152" s="178"/>
      <c r="M152" s="177"/>
      <c r="N152" s="168"/>
      <c r="O152" s="178"/>
      <c r="P152" s="177"/>
      <c r="Q152" s="168"/>
      <c r="R152" s="178"/>
      <c r="S152" s="177"/>
      <c r="T152" s="168"/>
      <c r="U152" s="178"/>
      <c r="V152" s="177"/>
      <c r="W152" s="4"/>
      <c r="X152" s="141"/>
      <c r="Y152" s="142"/>
    </row>
    <row r="153" spans="3:25" x14ac:dyDescent="0.3">
      <c r="C153" s="178"/>
      <c r="D153" s="177"/>
      <c r="F153" s="178"/>
      <c r="G153" s="177"/>
      <c r="H153" s="168"/>
      <c r="I153" s="178"/>
      <c r="J153" s="177"/>
      <c r="K153" s="168"/>
      <c r="L153" s="178"/>
      <c r="M153" s="177"/>
      <c r="N153" s="168"/>
      <c r="O153" s="178"/>
      <c r="P153" s="177"/>
      <c r="Q153" s="168"/>
      <c r="R153" s="178"/>
      <c r="S153" s="177"/>
      <c r="T153" s="168"/>
      <c r="U153" s="178"/>
      <c r="V153" s="177"/>
      <c r="W153" s="4"/>
      <c r="X153" s="141"/>
      <c r="Y153" s="142"/>
    </row>
    <row r="154" spans="3:25" x14ac:dyDescent="0.3">
      <c r="C154" s="178"/>
      <c r="D154" s="177"/>
      <c r="F154" s="178"/>
      <c r="G154" s="177"/>
      <c r="H154" s="168"/>
      <c r="I154" s="178"/>
      <c r="J154" s="177"/>
      <c r="K154" s="168"/>
      <c r="L154" s="178"/>
      <c r="M154" s="177"/>
      <c r="N154" s="168"/>
      <c r="O154" s="178"/>
      <c r="P154" s="177"/>
      <c r="Q154" s="168"/>
      <c r="R154" s="178"/>
      <c r="S154" s="177"/>
      <c r="T154" s="168"/>
      <c r="U154" s="178"/>
      <c r="V154" s="177"/>
      <c r="W154" s="4"/>
      <c r="X154" s="141"/>
      <c r="Y154" s="142"/>
    </row>
    <row r="155" spans="3:25" x14ac:dyDescent="0.3">
      <c r="C155" s="178"/>
      <c r="D155" s="177"/>
      <c r="F155" s="178"/>
      <c r="G155" s="177"/>
      <c r="H155" s="168"/>
      <c r="I155" s="178"/>
      <c r="J155" s="177"/>
      <c r="K155" s="168"/>
      <c r="L155" s="178"/>
      <c r="M155" s="177"/>
      <c r="N155" s="168"/>
      <c r="O155" s="178"/>
      <c r="P155" s="177"/>
      <c r="Q155" s="168"/>
      <c r="R155" s="178"/>
      <c r="S155" s="177"/>
      <c r="T155" s="168"/>
      <c r="U155" s="178"/>
      <c r="V155" s="177"/>
      <c r="W155" s="4"/>
      <c r="X155" s="141"/>
      <c r="Y155" s="142"/>
    </row>
    <row r="156" spans="3:25" x14ac:dyDescent="0.3">
      <c r="C156" s="178"/>
      <c r="D156" s="177"/>
      <c r="F156" s="178"/>
      <c r="G156" s="177"/>
      <c r="H156" s="168"/>
      <c r="I156" s="178"/>
      <c r="J156" s="177"/>
      <c r="K156" s="168"/>
      <c r="L156" s="178"/>
      <c r="M156" s="177"/>
      <c r="N156" s="168"/>
      <c r="O156" s="178"/>
      <c r="P156" s="177"/>
      <c r="Q156" s="168"/>
      <c r="R156" s="178"/>
      <c r="S156" s="177"/>
      <c r="T156" s="168"/>
      <c r="U156" s="178"/>
      <c r="V156" s="177"/>
      <c r="W156" s="4"/>
      <c r="X156" s="141"/>
      <c r="Y156" s="142"/>
    </row>
    <row r="157" spans="3:25" x14ac:dyDescent="0.3">
      <c r="C157" s="178"/>
      <c r="D157" s="177"/>
      <c r="F157" s="178"/>
      <c r="G157" s="177"/>
      <c r="H157" s="168"/>
      <c r="I157" s="178"/>
      <c r="J157" s="177"/>
      <c r="K157" s="168"/>
      <c r="L157" s="178"/>
      <c r="M157" s="177"/>
      <c r="N157" s="168"/>
      <c r="O157" s="178"/>
      <c r="P157" s="177"/>
      <c r="Q157" s="168"/>
      <c r="R157" s="178"/>
      <c r="S157" s="177"/>
      <c r="T157" s="168"/>
      <c r="U157" s="178"/>
      <c r="V157" s="177"/>
      <c r="W157" s="4"/>
      <c r="X157" s="141"/>
      <c r="Y157" s="142"/>
    </row>
    <row r="158" spans="3:25" x14ac:dyDescent="0.3">
      <c r="C158" s="178"/>
      <c r="D158" s="177"/>
      <c r="F158" s="178"/>
      <c r="G158" s="177"/>
      <c r="H158" s="168"/>
      <c r="I158" s="178"/>
      <c r="J158" s="177"/>
      <c r="K158" s="168"/>
      <c r="L158" s="178"/>
      <c r="M158" s="177"/>
      <c r="N158" s="168"/>
      <c r="O158" s="178"/>
      <c r="P158" s="177"/>
      <c r="Q158" s="168"/>
      <c r="R158" s="178"/>
      <c r="S158" s="177"/>
      <c r="T158" s="168"/>
      <c r="U158" s="178"/>
      <c r="V158" s="177"/>
      <c r="W158" s="4"/>
      <c r="X158" s="141"/>
      <c r="Y158" s="142"/>
    </row>
    <row r="159" spans="3:25" x14ac:dyDescent="0.3">
      <c r="C159" s="178"/>
      <c r="D159" s="177"/>
      <c r="F159" s="178"/>
      <c r="G159" s="177"/>
      <c r="H159" s="168"/>
      <c r="I159" s="178"/>
      <c r="J159" s="177"/>
      <c r="K159" s="168"/>
      <c r="L159" s="178"/>
      <c r="M159" s="177"/>
      <c r="N159" s="168"/>
      <c r="O159" s="178"/>
      <c r="P159" s="177"/>
      <c r="Q159" s="168"/>
      <c r="R159" s="178"/>
      <c r="S159" s="177"/>
      <c r="T159" s="168"/>
      <c r="U159" s="178"/>
      <c r="V159" s="177"/>
      <c r="W159" s="4"/>
      <c r="X159" s="141"/>
      <c r="Y159" s="142"/>
    </row>
    <row r="160" spans="3:25" x14ac:dyDescent="0.3">
      <c r="C160" s="178"/>
      <c r="D160" s="177"/>
      <c r="F160" s="178"/>
      <c r="G160" s="177"/>
      <c r="H160" s="168"/>
      <c r="I160" s="178"/>
      <c r="J160" s="177"/>
      <c r="K160" s="168"/>
      <c r="L160" s="178"/>
      <c r="M160" s="177"/>
      <c r="N160" s="168"/>
      <c r="O160" s="178"/>
      <c r="P160" s="177"/>
      <c r="Q160" s="168"/>
      <c r="R160" s="178"/>
      <c r="S160" s="177"/>
      <c r="T160" s="168"/>
      <c r="U160" s="178"/>
      <c r="V160" s="177"/>
      <c r="W160" s="4"/>
      <c r="X160" s="141"/>
      <c r="Y160" s="142"/>
    </row>
    <row r="161" spans="3:25" x14ac:dyDescent="0.3">
      <c r="C161" s="178"/>
      <c r="D161" s="177"/>
      <c r="F161" s="178"/>
      <c r="G161" s="177"/>
      <c r="H161" s="168"/>
      <c r="I161" s="178"/>
      <c r="J161" s="177"/>
      <c r="K161" s="168"/>
      <c r="L161" s="178"/>
      <c r="M161" s="177"/>
      <c r="N161" s="168"/>
      <c r="O161" s="178"/>
      <c r="P161" s="177"/>
      <c r="Q161" s="168"/>
      <c r="R161" s="178"/>
      <c r="S161" s="177"/>
      <c r="T161" s="168"/>
      <c r="U161" s="178"/>
      <c r="V161" s="177"/>
      <c r="W161" s="4"/>
      <c r="X161" s="141"/>
      <c r="Y161" s="142"/>
    </row>
    <row r="162" spans="3:25" x14ac:dyDescent="0.3">
      <c r="C162" s="178"/>
      <c r="D162" s="177"/>
      <c r="F162" s="178"/>
      <c r="G162" s="177"/>
      <c r="H162" s="168"/>
      <c r="I162" s="178"/>
      <c r="J162" s="177"/>
      <c r="K162" s="168"/>
      <c r="L162" s="178"/>
      <c r="M162" s="177"/>
      <c r="N162" s="168"/>
      <c r="O162" s="178"/>
      <c r="P162" s="177"/>
      <c r="Q162" s="168"/>
      <c r="R162" s="178"/>
      <c r="S162" s="177"/>
      <c r="T162" s="168"/>
      <c r="U162" s="178"/>
      <c r="V162" s="177"/>
      <c r="W162" s="4"/>
      <c r="X162" s="141"/>
      <c r="Y162" s="142"/>
    </row>
    <row r="163" spans="3:25" x14ac:dyDescent="0.3">
      <c r="C163" s="178"/>
      <c r="D163" s="177"/>
      <c r="F163" s="178"/>
      <c r="G163" s="177"/>
      <c r="H163" s="168"/>
      <c r="I163" s="178"/>
      <c r="J163" s="177"/>
      <c r="K163" s="168"/>
      <c r="L163" s="178"/>
      <c r="M163" s="177"/>
      <c r="N163" s="168"/>
      <c r="O163" s="178"/>
      <c r="P163" s="177"/>
      <c r="Q163" s="168"/>
      <c r="R163" s="178"/>
      <c r="S163" s="177"/>
      <c r="T163" s="168"/>
      <c r="U163" s="178"/>
      <c r="V163" s="177"/>
      <c r="W163" s="4"/>
      <c r="X163" s="141"/>
      <c r="Y163" s="142"/>
    </row>
    <row r="164" spans="3:25" x14ac:dyDescent="0.3">
      <c r="C164" s="178"/>
      <c r="D164" s="177"/>
      <c r="F164" s="178"/>
      <c r="G164" s="177"/>
      <c r="H164" s="168"/>
      <c r="I164" s="178"/>
      <c r="J164" s="177"/>
      <c r="K164" s="168"/>
      <c r="L164" s="178"/>
      <c r="M164" s="177"/>
      <c r="N164" s="168"/>
      <c r="O164" s="178"/>
      <c r="P164" s="177"/>
      <c r="Q164" s="168"/>
      <c r="R164" s="178"/>
      <c r="S164" s="177"/>
      <c r="T164" s="168"/>
      <c r="U164" s="178"/>
      <c r="V164" s="177"/>
      <c r="W164" s="4"/>
      <c r="X164" s="141"/>
      <c r="Y164" s="142"/>
    </row>
    <row r="165" spans="3:25" x14ac:dyDescent="0.3">
      <c r="C165" s="178"/>
      <c r="D165" s="177"/>
      <c r="F165" s="178"/>
      <c r="G165" s="177"/>
      <c r="H165" s="168"/>
      <c r="I165" s="178"/>
      <c r="J165" s="177"/>
      <c r="K165" s="168"/>
      <c r="L165" s="178"/>
      <c r="M165" s="177"/>
      <c r="N165" s="168"/>
      <c r="O165" s="178"/>
      <c r="P165" s="177"/>
      <c r="Q165" s="168"/>
      <c r="R165" s="178"/>
      <c r="S165" s="177"/>
      <c r="T165" s="168"/>
      <c r="U165" s="178"/>
      <c r="V165" s="177"/>
      <c r="W165" s="4"/>
      <c r="X165" s="141"/>
      <c r="Y165" s="142"/>
    </row>
    <row r="166" spans="3:25" x14ac:dyDescent="0.3">
      <c r="C166" s="178"/>
      <c r="D166" s="177"/>
      <c r="F166" s="178"/>
      <c r="G166" s="177"/>
      <c r="H166" s="168"/>
      <c r="I166" s="178"/>
      <c r="J166" s="177"/>
      <c r="K166" s="168"/>
      <c r="L166" s="178"/>
      <c r="M166" s="177"/>
      <c r="N166" s="168"/>
      <c r="O166" s="178"/>
      <c r="P166" s="177"/>
      <c r="Q166" s="168"/>
      <c r="R166" s="178"/>
      <c r="S166" s="177"/>
      <c r="T166" s="168"/>
      <c r="U166" s="178"/>
      <c r="V166" s="177"/>
      <c r="W166" s="4"/>
      <c r="X166" s="141"/>
      <c r="Y166" s="142"/>
    </row>
    <row r="167" spans="3:25" x14ac:dyDescent="0.3">
      <c r="C167" s="178"/>
      <c r="D167" s="177"/>
      <c r="F167" s="178"/>
      <c r="G167" s="177"/>
      <c r="H167" s="168"/>
      <c r="I167" s="178"/>
      <c r="J167" s="177"/>
      <c r="K167" s="168"/>
      <c r="L167" s="178"/>
      <c r="M167" s="177"/>
      <c r="N167" s="168"/>
      <c r="O167" s="178"/>
      <c r="P167" s="177"/>
      <c r="Q167" s="168"/>
      <c r="R167" s="178"/>
      <c r="S167" s="177"/>
      <c r="T167" s="168"/>
      <c r="U167" s="178"/>
      <c r="V167" s="177"/>
      <c r="W167" s="4"/>
      <c r="X167" s="141"/>
      <c r="Y167" s="142"/>
    </row>
    <row r="168" spans="3:25" x14ac:dyDescent="0.3">
      <c r="C168" s="178"/>
      <c r="D168" s="177"/>
      <c r="F168" s="178"/>
      <c r="G168" s="177"/>
      <c r="H168" s="168"/>
      <c r="I168" s="178"/>
      <c r="J168" s="177"/>
      <c r="K168" s="168"/>
      <c r="L168" s="178"/>
      <c r="M168" s="177"/>
      <c r="N168" s="168"/>
      <c r="O168" s="178"/>
      <c r="P168" s="177"/>
      <c r="Q168" s="168"/>
      <c r="R168" s="178"/>
      <c r="S168" s="177"/>
      <c r="T168" s="168"/>
      <c r="U168" s="178"/>
      <c r="V168" s="177"/>
      <c r="W168" s="4"/>
      <c r="X168" s="141"/>
      <c r="Y168" s="142"/>
    </row>
    <row r="169" spans="3:25" x14ac:dyDescent="0.3">
      <c r="C169" s="178"/>
      <c r="D169" s="177"/>
      <c r="F169" s="178"/>
      <c r="G169" s="177"/>
      <c r="H169" s="168"/>
      <c r="I169" s="178"/>
      <c r="J169" s="177"/>
      <c r="K169" s="168"/>
      <c r="L169" s="178"/>
      <c r="M169" s="177"/>
      <c r="N169" s="168"/>
      <c r="O169" s="178"/>
      <c r="P169" s="177"/>
      <c r="Q169" s="168"/>
      <c r="R169" s="178"/>
      <c r="S169" s="177"/>
      <c r="T169" s="168"/>
      <c r="U169" s="178"/>
      <c r="V169" s="177"/>
      <c r="W169" s="4"/>
      <c r="X169" s="141"/>
      <c r="Y169" s="142"/>
    </row>
    <row r="170" spans="3:25" x14ac:dyDescent="0.3">
      <c r="C170" s="178"/>
      <c r="D170" s="177"/>
      <c r="F170" s="178"/>
      <c r="G170" s="177"/>
      <c r="H170" s="168"/>
      <c r="I170" s="178"/>
      <c r="J170" s="177"/>
      <c r="K170" s="168"/>
      <c r="L170" s="178"/>
      <c r="M170" s="177"/>
      <c r="N170" s="168"/>
      <c r="O170" s="178"/>
      <c r="P170" s="177"/>
      <c r="Q170" s="168"/>
      <c r="R170" s="178"/>
      <c r="S170" s="177"/>
      <c r="T170" s="168"/>
      <c r="U170" s="178"/>
      <c r="V170" s="177"/>
      <c r="W170" s="4"/>
      <c r="X170" s="141"/>
      <c r="Y170" s="142"/>
    </row>
    <row r="171" spans="3:25" x14ac:dyDescent="0.3">
      <c r="C171" s="178"/>
      <c r="D171" s="177"/>
      <c r="F171" s="178"/>
      <c r="G171" s="177"/>
      <c r="H171" s="168"/>
      <c r="I171" s="178"/>
      <c r="J171" s="177"/>
      <c r="K171" s="168"/>
      <c r="L171" s="178"/>
      <c r="M171" s="177"/>
      <c r="N171" s="168"/>
      <c r="O171" s="178"/>
      <c r="P171" s="177"/>
      <c r="Q171" s="168"/>
      <c r="R171" s="178"/>
      <c r="S171" s="177"/>
      <c r="T171" s="168"/>
      <c r="U171" s="178"/>
      <c r="V171" s="177"/>
      <c r="W171" s="4"/>
      <c r="X171" s="141"/>
      <c r="Y171" s="142"/>
    </row>
    <row r="172" spans="3:25" x14ac:dyDescent="0.3">
      <c r="C172" s="178"/>
      <c r="D172" s="177"/>
      <c r="F172" s="178"/>
      <c r="G172" s="177"/>
      <c r="H172" s="168"/>
      <c r="I172" s="178"/>
      <c r="J172" s="177"/>
      <c r="K172" s="168"/>
      <c r="L172" s="178"/>
      <c r="M172" s="177"/>
      <c r="N172" s="168"/>
      <c r="O172" s="178"/>
      <c r="P172" s="177"/>
      <c r="Q172" s="168"/>
      <c r="R172" s="178"/>
      <c r="S172" s="177"/>
      <c r="T172" s="168"/>
      <c r="U172" s="178"/>
      <c r="V172" s="177"/>
      <c r="W172" s="4"/>
      <c r="X172" s="141"/>
      <c r="Y172" s="142"/>
    </row>
    <row r="173" spans="3:25" x14ac:dyDescent="0.3">
      <c r="C173" s="178"/>
      <c r="D173" s="177"/>
      <c r="F173" s="178"/>
      <c r="G173" s="177"/>
      <c r="H173" s="168"/>
      <c r="I173" s="178"/>
      <c r="J173" s="177"/>
      <c r="K173" s="168"/>
      <c r="L173" s="178"/>
      <c r="M173" s="177"/>
      <c r="N173" s="168"/>
      <c r="O173" s="178"/>
      <c r="P173" s="177"/>
      <c r="Q173" s="168"/>
      <c r="R173" s="178"/>
      <c r="S173" s="177"/>
      <c r="T173" s="168"/>
      <c r="U173" s="178"/>
      <c r="V173" s="177"/>
      <c r="W173" s="4"/>
      <c r="X173" s="141"/>
      <c r="Y173" s="142"/>
    </row>
    <row r="174" spans="3:25" x14ac:dyDescent="0.3">
      <c r="C174" s="178"/>
      <c r="D174" s="177"/>
      <c r="F174" s="178"/>
      <c r="G174" s="177"/>
      <c r="H174" s="168"/>
      <c r="I174" s="178"/>
      <c r="J174" s="177"/>
      <c r="K174" s="168"/>
      <c r="L174" s="178"/>
      <c r="M174" s="177"/>
      <c r="N174" s="168"/>
      <c r="O174" s="178"/>
      <c r="P174" s="177"/>
      <c r="Q174" s="168"/>
      <c r="R174" s="178"/>
      <c r="S174" s="177"/>
      <c r="U174" s="178"/>
      <c r="V174" s="177"/>
      <c r="X174" s="141"/>
      <c r="Y174" s="142"/>
    </row>
    <row r="175" spans="3:25" x14ac:dyDescent="0.3">
      <c r="C175" s="178"/>
      <c r="D175" s="177"/>
      <c r="F175" s="178"/>
      <c r="G175" s="177"/>
      <c r="H175" s="168"/>
      <c r="I175" s="178"/>
      <c r="J175" s="177"/>
      <c r="K175" s="168"/>
      <c r="L175" s="178"/>
      <c r="M175" s="177"/>
      <c r="N175" s="168"/>
      <c r="O175" s="178"/>
      <c r="P175" s="177"/>
      <c r="Q175" s="168"/>
      <c r="R175" s="178"/>
      <c r="S175" s="177"/>
      <c r="U175" s="178"/>
      <c r="V175" s="177"/>
      <c r="X175" s="141"/>
      <c r="Y175" s="142"/>
    </row>
    <row r="176" spans="3:25" x14ac:dyDescent="0.3">
      <c r="C176" s="178"/>
      <c r="D176" s="177"/>
      <c r="F176" s="178"/>
      <c r="G176" s="177"/>
      <c r="H176" s="168"/>
      <c r="I176" s="178"/>
      <c r="J176" s="177"/>
      <c r="K176" s="168"/>
      <c r="L176" s="178"/>
      <c r="M176" s="177"/>
      <c r="N176" s="168"/>
      <c r="O176" s="178"/>
      <c r="P176" s="177"/>
      <c r="Q176" s="168"/>
      <c r="R176" s="178"/>
      <c r="S176" s="177"/>
      <c r="U176" s="178"/>
      <c r="V176" s="177"/>
      <c r="X176" s="141"/>
      <c r="Y176" s="142"/>
    </row>
    <row r="177" spans="3:25" x14ac:dyDescent="0.3">
      <c r="C177" s="178"/>
      <c r="D177" s="177"/>
      <c r="F177" s="178"/>
      <c r="G177" s="177"/>
      <c r="H177" s="168"/>
      <c r="I177" s="178"/>
      <c r="J177" s="177"/>
      <c r="K177" s="168"/>
      <c r="L177" s="178"/>
      <c r="M177" s="177"/>
      <c r="N177" s="168"/>
      <c r="O177" s="178"/>
      <c r="P177" s="177"/>
      <c r="Q177" s="168"/>
      <c r="R177" s="178"/>
      <c r="S177" s="177"/>
      <c r="U177" s="178"/>
      <c r="V177" s="177"/>
      <c r="X177" s="141"/>
      <c r="Y177" s="142"/>
    </row>
    <row r="178" spans="3:25" x14ac:dyDescent="0.3">
      <c r="C178" s="178"/>
      <c r="D178" s="177"/>
      <c r="F178" s="178"/>
      <c r="G178" s="177"/>
      <c r="H178" s="168"/>
      <c r="I178" s="178"/>
      <c r="J178" s="177"/>
      <c r="K178" s="168"/>
      <c r="L178" s="178"/>
      <c r="M178" s="177"/>
      <c r="N178" s="168"/>
      <c r="O178" s="178"/>
      <c r="P178" s="177"/>
      <c r="Q178" s="168"/>
      <c r="R178" s="178"/>
      <c r="S178" s="177"/>
      <c r="U178" s="178"/>
      <c r="V178" s="177"/>
      <c r="X178" s="141"/>
      <c r="Y178" s="142"/>
    </row>
    <row r="179" spans="3:25" x14ac:dyDescent="0.3">
      <c r="C179" s="178"/>
      <c r="D179" s="177"/>
      <c r="F179" s="178"/>
      <c r="G179" s="177"/>
      <c r="H179" s="168"/>
      <c r="I179" s="178"/>
      <c r="J179" s="177"/>
      <c r="K179" s="168"/>
      <c r="L179" s="178"/>
      <c r="M179" s="177"/>
      <c r="N179" s="168"/>
      <c r="O179" s="178"/>
      <c r="P179" s="177"/>
      <c r="Q179" s="168"/>
      <c r="R179" s="178"/>
      <c r="S179" s="177"/>
      <c r="U179" s="178"/>
      <c r="V179" s="177"/>
      <c r="X179" s="141"/>
      <c r="Y179" s="142"/>
    </row>
    <row r="180" spans="3:25" x14ac:dyDescent="0.3">
      <c r="C180" s="178"/>
      <c r="D180" s="177"/>
      <c r="F180" s="178"/>
      <c r="G180" s="177"/>
      <c r="H180" s="168"/>
      <c r="I180" s="178"/>
      <c r="J180" s="177"/>
      <c r="K180" s="168"/>
      <c r="L180" s="178"/>
      <c r="M180" s="177"/>
      <c r="O180" s="178"/>
      <c r="P180" s="177"/>
      <c r="R180" s="178"/>
      <c r="S180" s="177"/>
      <c r="U180" s="178"/>
      <c r="V180" s="177"/>
      <c r="X180" s="141"/>
      <c r="Y180" s="142"/>
    </row>
    <row r="181" spans="3:25" x14ac:dyDescent="0.3">
      <c r="C181" s="178"/>
      <c r="D181" s="177"/>
      <c r="F181" s="178"/>
      <c r="G181" s="177"/>
      <c r="H181" s="168"/>
      <c r="I181" s="178"/>
      <c r="J181" s="177"/>
      <c r="K181" s="168"/>
      <c r="L181" s="178"/>
      <c r="M181" s="177"/>
      <c r="O181" s="178"/>
      <c r="P181" s="177"/>
      <c r="R181" s="178"/>
      <c r="S181" s="177"/>
      <c r="U181" s="178"/>
      <c r="V181" s="177"/>
      <c r="X181" s="141"/>
      <c r="Y181" s="142"/>
    </row>
    <row r="182" spans="3:25" x14ac:dyDescent="0.3">
      <c r="C182" s="178"/>
      <c r="D182" s="177"/>
      <c r="F182" s="178"/>
      <c r="G182" s="177"/>
      <c r="H182" s="168"/>
      <c r="I182" s="178"/>
      <c r="J182" s="177"/>
      <c r="K182" s="168"/>
      <c r="L182" s="178"/>
      <c r="M182" s="177"/>
      <c r="O182" s="178"/>
      <c r="P182" s="177"/>
      <c r="R182" s="178"/>
      <c r="S182" s="177"/>
      <c r="U182" s="178"/>
      <c r="V182" s="177"/>
      <c r="X182" s="141"/>
      <c r="Y182" s="142"/>
    </row>
    <row r="183" spans="3:25" x14ac:dyDescent="0.3">
      <c r="C183" s="178"/>
      <c r="D183" s="177"/>
      <c r="F183" s="178"/>
      <c r="G183" s="177"/>
      <c r="H183" s="168"/>
      <c r="I183" s="178"/>
      <c r="J183" s="177"/>
      <c r="K183" s="168"/>
      <c r="L183" s="178"/>
      <c r="M183" s="177"/>
      <c r="O183" s="178"/>
      <c r="P183" s="177"/>
      <c r="R183" s="178"/>
      <c r="S183" s="177"/>
      <c r="U183" s="178"/>
      <c r="V183" s="177"/>
      <c r="X183" s="141"/>
      <c r="Y183" s="142"/>
    </row>
    <row r="184" spans="3:25" x14ac:dyDescent="0.3">
      <c r="C184" s="178"/>
      <c r="D184" s="177"/>
      <c r="F184" s="178"/>
      <c r="G184" s="177"/>
      <c r="H184" s="168"/>
      <c r="I184" s="178"/>
      <c r="J184" s="177"/>
      <c r="K184" s="168"/>
      <c r="L184" s="178"/>
      <c r="M184" s="177"/>
      <c r="O184" s="178"/>
      <c r="P184" s="177"/>
      <c r="R184" s="178"/>
      <c r="S184" s="177"/>
      <c r="U184" s="178"/>
      <c r="V184" s="177"/>
      <c r="X184" s="141"/>
      <c r="Y184" s="142"/>
    </row>
    <row r="185" spans="3:25" x14ac:dyDescent="0.3">
      <c r="C185" s="178"/>
      <c r="D185" s="177"/>
      <c r="F185" s="178"/>
      <c r="G185" s="177"/>
      <c r="H185" s="168"/>
      <c r="I185" s="178"/>
      <c r="J185" s="177"/>
      <c r="K185" s="168"/>
      <c r="L185" s="178"/>
      <c r="M185" s="177"/>
      <c r="O185" s="178"/>
      <c r="P185" s="177"/>
      <c r="R185" s="178"/>
      <c r="S185" s="177"/>
      <c r="U185" s="178"/>
      <c r="V185" s="177"/>
      <c r="X185" s="141"/>
      <c r="Y185" s="142"/>
    </row>
    <row r="186" spans="3:25" x14ac:dyDescent="0.3">
      <c r="C186" s="178"/>
      <c r="D186" s="177"/>
      <c r="F186" s="178"/>
      <c r="G186" s="177"/>
      <c r="H186" s="168"/>
      <c r="I186" s="178"/>
      <c r="J186" s="177"/>
      <c r="K186" s="168"/>
      <c r="L186" s="178"/>
      <c r="M186" s="177"/>
      <c r="O186" s="178"/>
      <c r="P186" s="177"/>
      <c r="R186" s="178"/>
      <c r="S186" s="177"/>
      <c r="U186" s="178"/>
      <c r="V186" s="177"/>
      <c r="X186" s="141"/>
      <c r="Y186" s="142"/>
    </row>
    <row r="187" spans="3:25" x14ac:dyDescent="0.3">
      <c r="C187" s="178"/>
      <c r="D187" s="177"/>
      <c r="F187" s="178"/>
      <c r="G187" s="177"/>
      <c r="H187" s="168"/>
      <c r="I187" s="178"/>
      <c r="J187" s="177"/>
      <c r="K187" s="168"/>
      <c r="L187" s="178"/>
      <c r="M187" s="177"/>
      <c r="O187" s="178"/>
      <c r="P187" s="177"/>
      <c r="R187" s="178"/>
      <c r="S187" s="177"/>
      <c r="U187" s="178"/>
      <c r="V187" s="177"/>
      <c r="X187" s="141"/>
      <c r="Y187" s="142"/>
    </row>
    <row r="188" spans="3:25" x14ac:dyDescent="0.3">
      <c r="C188" s="178"/>
      <c r="D188" s="177"/>
      <c r="F188" s="178"/>
      <c r="G188" s="177"/>
      <c r="H188" s="168"/>
      <c r="I188" s="178"/>
      <c r="J188" s="177"/>
      <c r="K188" s="168"/>
      <c r="L188" s="178"/>
      <c r="M188" s="177"/>
      <c r="O188" s="178"/>
      <c r="P188" s="177"/>
      <c r="R188" s="178"/>
      <c r="S188" s="177"/>
      <c r="U188" s="178"/>
      <c r="V188" s="177"/>
      <c r="X188" s="141"/>
      <c r="Y188" s="142"/>
    </row>
    <row r="189" spans="3:25" x14ac:dyDescent="0.3">
      <c r="C189" s="178"/>
      <c r="D189" s="177"/>
      <c r="F189" s="178"/>
      <c r="G189" s="177"/>
      <c r="H189" s="168"/>
      <c r="I189" s="178"/>
      <c r="J189" s="177"/>
      <c r="K189" s="168"/>
      <c r="L189" s="178"/>
      <c r="M189" s="177"/>
      <c r="O189" s="178"/>
      <c r="P189" s="177"/>
      <c r="R189" s="178"/>
      <c r="S189" s="177"/>
      <c r="U189" s="178"/>
      <c r="V189" s="177"/>
      <c r="X189" s="141"/>
      <c r="Y189" s="142"/>
    </row>
    <row r="190" spans="3:25" x14ac:dyDescent="0.3">
      <c r="C190" s="178"/>
      <c r="D190" s="177"/>
      <c r="F190" s="178"/>
      <c r="G190" s="177"/>
      <c r="H190" s="168"/>
      <c r="I190" s="178"/>
      <c r="J190" s="177"/>
      <c r="K190" s="168"/>
      <c r="L190" s="178"/>
      <c r="M190" s="177"/>
      <c r="O190" s="178"/>
      <c r="P190" s="177"/>
      <c r="R190" s="178"/>
      <c r="S190" s="177"/>
      <c r="U190" s="178"/>
      <c r="V190" s="177"/>
      <c r="X190" s="141"/>
      <c r="Y190" s="142"/>
    </row>
    <row r="191" spans="3:25" x14ac:dyDescent="0.3">
      <c r="C191" s="178"/>
      <c r="D191" s="177"/>
      <c r="F191" s="178"/>
      <c r="G191" s="177"/>
      <c r="H191" s="168"/>
      <c r="I191" s="178"/>
      <c r="J191" s="177"/>
      <c r="K191" s="168"/>
      <c r="L191" s="178"/>
      <c r="M191" s="177"/>
      <c r="O191" s="178"/>
      <c r="P191" s="177"/>
      <c r="R191" s="178"/>
      <c r="S191" s="177"/>
      <c r="U191" s="178"/>
      <c r="V191" s="177"/>
      <c r="X191" s="141"/>
      <c r="Y191" s="142"/>
    </row>
    <row r="192" spans="3:25" x14ac:dyDescent="0.3">
      <c r="C192" s="178"/>
      <c r="D192" s="177"/>
      <c r="F192" s="178"/>
      <c r="G192" s="177"/>
      <c r="H192" s="168"/>
      <c r="I192" s="178"/>
      <c r="J192" s="177"/>
      <c r="K192" s="168"/>
      <c r="L192" s="178"/>
      <c r="M192" s="177"/>
      <c r="O192" s="178"/>
      <c r="P192" s="177"/>
      <c r="R192" s="178"/>
      <c r="S192" s="177"/>
      <c r="U192" s="178"/>
      <c r="V192" s="177"/>
      <c r="X192" s="141"/>
      <c r="Y192" s="142"/>
    </row>
    <row r="193" spans="3:25" x14ac:dyDescent="0.3">
      <c r="C193" s="178"/>
      <c r="D193" s="177"/>
      <c r="F193" s="178"/>
      <c r="G193" s="177"/>
      <c r="H193" s="168"/>
      <c r="I193" s="178"/>
      <c r="J193" s="177"/>
      <c r="K193" s="168"/>
      <c r="L193" s="178"/>
      <c r="M193" s="177"/>
      <c r="O193" s="178"/>
      <c r="P193" s="177"/>
      <c r="R193" s="178"/>
      <c r="S193" s="177"/>
      <c r="U193" s="178"/>
      <c r="V193" s="177"/>
      <c r="X193" s="141"/>
      <c r="Y193" s="142"/>
    </row>
    <row r="194" spans="3:25" x14ac:dyDescent="0.3">
      <c r="C194" s="178"/>
      <c r="D194" s="177"/>
      <c r="F194" s="178"/>
      <c r="G194" s="177"/>
      <c r="H194" s="168"/>
      <c r="I194" s="178"/>
      <c r="J194" s="177"/>
      <c r="K194" s="168"/>
      <c r="L194" s="178"/>
      <c r="M194" s="177"/>
      <c r="O194" s="178"/>
      <c r="P194" s="177"/>
      <c r="R194" s="178"/>
      <c r="S194" s="177"/>
      <c r="U194" s="178"/>
      <c r="V194" s="177"/>
      <c r="X194" s="141"/>
      <c r="Y194" s="142"/>
    </row>
    <row r="195" spans="3:25" x14ac:dyDescent="0.3">
      <c r="C195" s="178"/>
      <c r="D195" s="177"/>
      <c r="F195" s="178"/>
      <c r="G195" s="177"/>
      <c r="H195" s="168"/>
      <c r="I195" s="178"/>
      <c r="J195" s="177"/>
      <c r="K195" s="168"/>
      <c r="L195" s="178"/>
      <c r="M195" s="177"/>
      <c r="O195" s="178"/>
      <c r="P195" s="177"/>
      <c r="R195" s="178"/>
      <c r="S195" s="177"/>
      <c r="U195" s="178"/>
      <c r="V195" s="177"/>
      <c r="X195" s="141"/>
      <c r="Y195" s="142"/>
    </row>
    <row r="196" spans="3:25" x14ac:dyDescent="0.3">
      <c r="C196" s="178"/>
      <c r="D196" s="177"/>
      <c r="F196" s="178"/>
      <c r="G196" s="177"/>
      <c r="H196" s="168"/>
      <c r="I196" s="178"/>
      <c r="J196" s="177"/>
      <c r="K196" s="168"/>
      <c r="L196" s="178"/>
      <c r="M196" s="177"/>
      <c r="O196" s="178"/>
      <c r="P196" s="177"/>
      <c r="R196" s="178"/>
      <c r="S196" s="177"/>
      <c r="U196" s="178"/>
      <c r="V196" s="177"/>
      <c r="X196" s="141"/>
      <c r="Y196" s="142"/>
    </row>
    <row r="197" spans="3:25" x14ac:dyDescent="0.3">
      <c r="C197" s="178"/>
      <c r="D197" s="177"/>
      <c r="F197" s="178"/>
      <c r="G197" s="177"/>
      <c r="H197" s="168"/>
      <c r="I197" s="178"/>
      <c r="J197" s="177"/>
      <c r="K197" s="168"/>
      <c r="L197" s="178"/>
      <c r="M197" s="177"/>
      <c r="O197" s="178"/>
      <c r="P197" s="177"/>
      <c r="R197" s="178"/>
      <c r="S197" s="177"/>
      <c r="U197" s="178"/>
      <c r="V197" s="177"/>
      <c r="X197" s="141"/>
      <c r="Y197" s="142"/>
    </row>
    <row r="198" spans="3:25" x14ac:dyDescent="0.3">
      <c r="C198" s="178"/>
      <c r="D198" s="177"/>
      <c r="F198" s="178"/>
      <c r="G198" s="177"/>
      <c r="H198" s="168"/>
      <c r="I198" s="178"/>
      <c r="J198" s="177"/>
      <c r="K198" s="168"/>
      <c r="L198" s="178"/>
      <c r="M198" s="177"/>
      <c r="O198" s="178"/>
      <c r="P198" s="177"/>
      <c r="R198" s="178"/>
      <c r="S198" s="177"/>
      <c r="U198" s="178"/>
      <c r="V198" s="177"/>
      <c r="X198" s="141"/>
      <c r="Y198" s="142"/>
    </row>
    <row r="199" spans="3:25" x14ac:dyDescent="0.3">
      <c r="C199" s="178"/>
      <c r="D199" s="177"/>
      <c r="F199" s="178"/>
      <c r="G199" s="177"/>
      <c r="H199" s="168"/>
      <c r="I199" s="178"/>
      <c r="J199" s="177"/>
      <c r="K199" s="168"/>
      <c r="L199" s="178"/>
      <c r="M199" s="177"/>
      <c r="O199" s="178"/>
      <c r="P199" s="177"/>
      <c r="R199" s="178"/>
      <c r="S199" s="177"/>
      <c r="U199" s="178"/>
      <c r="V199" s="177"/>
      <c r="X199" s="141"/>
      <c r="Y199" s="142"/>
    </row>
    <row r="200" spans="3:25" x14ac:dyDescent="0.3">
      <c r="C200" s="178"/>
      <c r="D200" s="177"/>
      <c r="F200" s="178"/>
      <c r="G200" s="177"/>
      <c r="H200" s="168"/>
      <c r="I200" s="178"/>
      <c r="J200" s="177"/>
      <c r="K200" s="168"/>
      <c r="L200" s="178"/>
      <c r="M200" s="177"/>
      <c r="O200" s="178"/>
      <c r="P200" s="177"/>
      <c r="R200" s="178"/>
      <c r="S200" s="177"/>
      <c r="U200" s="178"/>
      <c r="V200" s="177"/>
      <c r="X200" s="141"/>
      <c r="Y200" s="142"/>
    </row>
    <row r="201" spans="3:25" x14ac:dyDescent="0.3">
      <c r="C201" s="178"/>
      <c r="D201" s="177"/>
      <c r="F201" s="178"/>
      <c r="G201" s="177"/>
      <c r="H201" s="168"/>
      <c r="I201" s="178"/>
      <c r="J201" s="177"/>
      <c r="K201" s="168"/>
      <c r="L201" s="178"/>
      <c r="M201" s="177"/>
      <c r="O201" s="178"/>
      <c r="P201" s="177"/>
      <c r="R201" s="178"/>
      <c r="S201" s="177"/>
      <c r="U201" s="178"/>
      <c r="V201" s="177"/>
      <c r="X201" s="141"/>
      <c r="Y201" s="142"/>
    </row>
    <row r="202" spans="3:25" x14ac:dyDescent="0.3">
      <c r="C202" s="178"/>
      <c r="D202" s="177"/>
      <c r="F202" s="178"/>
      <c r="G202" s="177"/>
      <c r="H202" s="168"/>
      <c r="I202" s="178"/>
      <c r="J202" s="177"/>
      <c r="K202" s="168"/>
      <c r="L202" s="178"/>
      <c r="M202" s="177"/>
      <c r="O202" s="178"/>
      <c r="P202" s="177"/>
      <c r="R202" s="178"/>
      <c r="S202" s="177"/>
      <c r="U202" s="178"/>
      <c r="V202" s="177"/>
      <c r="X202" s="141"/>
      <c r="Y202" s="142"/>
    </row>
    <row r="203" spans="3:25" x14ac:dyDescent="0.3">
      <c r="C203" s="178"/>
      <c r="D203" s="177"/>
      <c r="F203" s="178"/>
      <c r="G203" s="177"/>
      <c r="H203" s="168"/>
      <c r="I203" s="178"/>
      <c r="J203" s="177"/>
      <c r="K203" s="168"/>
      <c r="L203" s="178"/>
      <c r="M203" s="177"/>
      <c r="O203" s="178"/>
      <c r="P203" s="177"/>
      <c r="R203" s="178"/>
      <c r="S203" s="177"/>
      <c r="U203" s="178"/>
      <c r="V203" s="177"/>
      <c r="X203" s="141"/>
      <c r="Y203" s="142"/>
    </row>
    <row r="204" spans="3:25" x14ac:dyDescent="0.3">
      <c r="C204" s="178"/>
      <c r="D204" s="177"/>
      <c r="F204" s="178"/>
      <c r="G204" s="177"/>
      <c r="H204" s="168"/>
      <c r="I204" s="178"/>
      <c r="J204" s="177"/>
      <c r="K204" s="168"/>
      <c r="L204" s="178"/>
      <c r="M204" s="177"/>
      <c r="O204" s="178"/>
      <c r="P204" s="177"/>
      <c r="R204" s="178"/>
      <c r="S204" s="177"/>
      <c r="U204" s="178"/>
      <c r="V204" s="177"/>
      <c r="X204" s="141"/>
      <c r="Y204" s="142"/>
    </row>
    <row r="205" spans="3:25" x14ac:dyDescent="0.3">
      <c r="C205" s="178"/>
      <c r="D205" s="177"/>
      <c r="F205" s="178"/>
      <c r="G205" s="177"/>
      <c r="H205" s="168"/>
      <c r="I205" s="178"/>
      <c r="J205" s="177"/>
      <c r="K205" s="168"/>
      <c r="L205" s="178"/>
      <c r="M205" s="177"/>
      <c r="O205" s="178"/>
      <c r="P205" s="177"/>
      <c r="R205" s="178"/>
      <c r="S205" s="177"/>
      <c r="U205" s="178"/>
      <c r="V205" s="177"/>
      <c r="X205" s="141"/>
      <c r="Y205" s="142"/>
    </row>
    <row r="206" spans="3:25" x14ac:dyDescent="0.3">
      <c r="C206" s="178"/>
      <c r="D206" s="177"/>
      <c r="F206" s="178"/>
      <c r="G206" s="177"/>
      <c r="H206" s="168"/>
      <c r="I206" s="178"/>
      <c r="J206" s="177"/>
      <c r="K206" s="168"/>
      <c r="L206" s="178"/>
      <c r="M206" s="177"/>
      <c r="O206" s="178"/>
      <c r="P206" s="177"/>
      <c r="R206" s="178"/>
      <c r="S206" s="177"/>
      <c r="U206" s="178"/>
      <c r="V206" s="177"/>
      <c r="X206" s="141"/>
      <c r="Y206" s="142"/>
    </row>
    <row r="207" spans="3:25" x14ac:dyDescent="0.3">
      <c r="C207" s="178"/>
      <c r="D207" s="177"/>
      <c r="F207" s="178"/>
      <c r="G207" s="177"/>
      <c r="H207" s="168"/>
      <c r="I207" s="178"/>
      <c r="J207" s="177"/>
      <c r="K207" s="168"/>
      <c r="L207" s="178"/>
      <c r="M207" s="177"/>
      <c r="O207" s="178"/>
      <c r="P207" s="177"/>
      <c r="R207" s="178"/>
      <c r="S207" s="177"/>
      <c r="U207" s="178"/>
      <c r="V207" s="177"/>
      <c r="X207" s="141"/>
      <c r="Y207" s="142"/>
    </row>
    <row r="208" spans="3:25" x14ac:dyDescent="0.3">
      <c r="C208" s="178"/>
      <c r="D208" s="177"/>
      <c r="F208" s="178"/>
      <c r="G208" s="177"/>
      <c r="H208" s="168"/>
      <c r="I208" s="178"/>
      <c r="J208" s="177"/>
      <c r="K208" s="168"/>
      <c r="L208" s="178"/>
      <c r="M208" s="177"/>
      <c r="O208" s="178"/>
      <c r="P208" s="177"/>
      <c r="R208" s="178"/>
      <c r="S208" s="177"/>
      <c r="U208" s="178"/>
      <c r="V208" s="177"/>
      <c r="X208" s="141"/>
      <c r="Y208" s="142"/>
    </row>
    <row r="209" spans="3:25" x14ac:dyDescent="0.3">
      <c r="C209" s="178"/>
      <c r="D209" s="177"/>
      <c r="F209" s="178"/>
      <c r="G209" s="177"/>
      <c r="H209" s="168"/>
      <c r="I209" s="178"/>
      <c r="J209" s="177"/>
      <c r="K209" s="168"/>
      <c r="L209" s="178"/>
      <c r="M209" s="177"/>
      <c r="O209" s="178"/>
      <c r="P209" s="177"/>
      <c r="R209" s="178"/>
      <c r="S209" s="177"/>
      <c r="U209" s="178"/>
      <c r="V209" s="177"/>
      <c r="X209" s="141"/>
      <c r="Y209" s="142"/>
    </row>
    <row r="210" spans="3:25" x14ac:dyDescent="0.3">
      <c r="C210" s="178"/>
      <c r="D210" s="177"/>
      <c r="F210" s="178"/>
      <c r="G210" s="177"/>
      <c r="H210" s="168"/>
      <c r="I210" s="178"/>
      <c r="J210" s="177"/>
      <c r="K210" s="168"/>
      <c r="L210" s="178"/>
      <c r="M210" s="177"/>
      <c r="O210" s="178"/>
      <c r="P210" s="177"/>
      <c r="R210" s="178"/>
      <c r="S210" s="177"/>
      <c r="U210" s="178"/>
      <c r="V210" s="177"/>
      <c r="X210" s="141"/>
      <c r="Y210" s="142"/>
    </row>
    <row r="211" spans="3:25" x14ac:dyDescent="0.3">
      <c r="C211" s="178"/>
      <c r="D211" s="177"/>
      <c r="F211" s="178"/>
      <c r="G211" s="177"/>
      <c r="H211" s="168"/>
      <c r="I211" s="178"/>
      <c r="J211" s="177"/>
      <c r="K211" s="168"/>
      <c r="L211" s="178"/>
      <c r="M211" s="177"/>
      <c r="O211" s="178"/>
      <c r="P211" s="177"/>
      <c r="R211" s="178"/>
      <c r="S211" s="177"/>
      <c r="U211" s="178"/>
      <c r="V211" s="177"/>
      <c r="X211" s="141"/>
      <c r="Y211" s="142"/>
    </row>
    <row r="212" spans="3:25" x14ac:dyDescent="0.3">
      <c r="C212" s="178"/>
      <c r="D212" s="177"/>
      <c r="F212" s="178"/>
      <c r="G212" s="177"/>
      <c r="H212" s="168"/>
      <c r="I212" s="178"/>
      <c r="J212" s="177"/>
      <c r="K212" s="168"/>
      <c r="L212" s="178"/>
      <c r="M212" s="177"/>
      <c r="O212" s="178"/>
      <c r="P212" s="177"/>
      <c r="R212" s="178"/>
      <c r="S212" s="177"/>
      <c r="U212" s="178"/>
      <c r="V212" s="177"/>
      <c r="X212" s="141"/>
      <c r="Y212" s="142"/>
    </row>
    <row r="213" spans="3:25" x14ac:dyDescent="0.3">
      <c r="C213" s="178"/>
      <c r="D213" s="177"/>
      <c r="F213" s="178"/>
      <c r="G213" s="177"/>
      <c r="H213" s="168"/>
      <c r="I213" s="178"/>
      <c r="J213" s="177"/>
      <c r="K213" s="168"/>
      <c r="L213" s="178"/>
      <c r="M213" s="177"/>
      <c r="O213" s="178"/>
      <c r="P213" s="177"/>
      <c r="R213" s="178"/>
      <c r="S213" s="177"/>
      <c r="U213" s="178"/>
      <c r="V213" s="177"/>
      <c r="X213" s="141"/>
      <c r="Y213" s="142"/>
    </row>
    <row r="214" spans="3:25" x14ac:dyDescent="0.3">
      <c r="C214" s="178"/>
      <c r="D214" s="177"/>
      <c r="F214" s="178"/>
      <c r="G214" s="177"/>
      <c r="H214" s="168"/>
      <c r="I214" s="178"/>
      <c r="J214" s="177"/>
      <c r="K214" s="168"/>
      <c r="L214" s="178"/>
      <c r="M214" s="177"/>
      <c r="O214" s="178"/>
      <c r="P214" s="177"/>
      <c r="R214" s="178"/>
      <c r="S214" s="177"/>
      <c r="U214" s="178"/>
      <c r="V214" s="177"/>
      <c r="X214" s="141"/>
      <c r="Y214" s="142"/>
    </row>
    <row r="215" spans="3:25" x14ac:dyDescent="0.3">
      <c r="C215" s="178"/>
      <c r="D215" s="177"/>
      <c r="F215" s="178"/>
      <c r="G215" s="177"/>
      <c r="H215" s="168"/>
      <c r="I215" s="178"/>
      <c r="J215" s="177"/>
      <c r="K215" s="168"/>
      <c r="L215" s="178"/>
      <c r="M215" s="177"/>
      <c r="O215" s="178"/>
      <c r="P215" s="177"/>
      <c r="R215" s="178"/>
      <c r="S215" s="177"/>
      <c r="U215" s="178"/>
      <c r="V215" s="177"/>
      <c r="X215" s="141"/>
      <c r="Y215" s="142"/>
    </row>
    <row r="216" spans="3:25" x14ac:dyDescent="0.3">
      <c r="C216" s="178"/>
      <c r="D216" s="177"/>
      <c r="F216" s="178"/>
      <c r="G216" s="177"/>
      <c r="H216" s="168"/>
      <c r="I216" s="178"/>
      <c r="J216" s="177"/>
      <c r="K216" s="168"/>
      <c r="L216" s="178"/>
      <c r="M216" s="177"/>
      <c r="O216" s="178"/>
      <c r="P216" s="177"/>
      <c r="R216" s="178"/>
      <c r="S216" s="177"/>
      <c r="U216" s="178"/>
      <c r="V216" s="177"/>
      <c r="X216" s="141"/>
      <c r="Y216" s="142"/>
    </row>
    <row r="217" spans="3:25" x14ac:dyDescent="0.3">
      <c r="C217" s="178"/>
      <c r="D217" s="177"/>
      <c r="F217" s="178"/>
      <c r="G217" s="177"/>
      <c r="H217" s="168"/>
      <c r="I217" s="178"/>
      <c r="J217" s="177"/>
      <c r="K217" s="168"/>
      <c r="L217" s="178"/>
      <c r="M217" s="177"/>
      <c r="O217" s="178"/>
      <c r="P217" s="177"/>
      <c r="R217" s="178"/>
      <c r="S217" s="177"/>
      <c r="U217" s="178"/>
      <c r="V217" s="177"/>
      <c r="X217" s="141"/>
      <c r="Y217" s="142"/>
    </row>
    <row r="218" spans="3:25" x14ac:dyDescent="0.3">
      <c r="C218" s="178"/>
      <c r="D218" s="177"/>
      <c r="F218" s="178"/>
      <c r="G218" s="177"/>
      <c r="H218" s="168"/>
      <c r="I218" s="178"/>
      <c r="J218" s="177"/>
      <c r="K218" s="168"/>
      <c r="L218" s="178"/>
      <c r="M218" s="177"/>
      <c r="O218" s="178"/>
      <c r="P218" s="177"/>
      <c r="R218" s="178"/>
      <c r="S218" s="177"/>
      <c r="U218" s="178"/>
      <c r="V218" s="177"/>
      <c r="X218" s="141"/>
      <c r="Y218" s="142"/>
    </row>
    <row r="219" spans="3:25" x14ac:dyDescent="0.3">
      <c r="C219" s="178"/>
      <c r="D219" s="177"/>
      <c r="F219" s="178"/>
      <c r="G219" s="177"/>
      <c r="H219" s="168"/>
      <c r="I219" s="178"/>
      <c r="J219" s="177"/>
      <c r="K219" s="168"/>
      <c r="L219" s="178"/>
      <c r="M219" s="177"/>
      <c r="O219" s="178"/>
      <c r="P219" s="177"/>
      <c r="R219" s="178"/>
      <c r="S219" s="177"/>
      <c r="U219" s="178"/>
      <c r="V219" s="177"/>
      <c r="X219" s="141"/>
      <c r="Y219" s="142"/>
    </row>
    <row r="220" spans="3:25" x14ac:dyDescent="0.3">
      <c r="C220" s="178"/>
      <c r="D220" s="177"/>
      <c r="F220" s="178"/>
      <c r="G220" s="177"/>
      <c r="H220" s="168"/>
      <c r="I220" s="178"/>
      <c r="J220" s="177"/>
      <c r="K220" s="168"/>
      <c r="L220" s="178"/>
      <c r="M220" s="177"/>
      <c r="O220" s="178"/>
      <c r="P220" s="177"/>
      <c r="R220" s="178"/>
      <c r="S220" s="177"/>
      <c r="U220" s="178"/>
      <c r="V220" s="177"/>
      <c r="X220" s="141"/>
      <c r="Y220" s="142"/>
    </row>
    <row r="221" spans="3:25" x14ac:dyDescent="0.3">
      <c r="C221" s="178"/>
      <c r="D221" s="177"/>
      <c r="F221" s="178"/>
      <c r="G221" s="177"/>
      <c r="H221" s="168"/>
      <c r="I221" s="178"/>
      <c r="J221" s="177"/>
      <c r="K221" s="168"/>
      <c r="L221" s="178"/>
      <c r="M221" s="177"/>
      <c r="O221" s="178"/>
      <c r="P221" s="177"/>
      <c r="R221" s="178"/>
      <c r="S221" s="177"/>
      <c r="U221" s="178"/>
      <c r="V221" s="177"/>
      <c r="X221" s="141"/>
      <c r="Y221" s="142"/>
    </row>
    <row r="222" spans="3:25" x14ac:dyDescent="0.3">
      <c r="C222" s="178"/>
      <c r="D222" s="177"/>
      <c r="F222" s="178"/>
      <c r="G222" s="177"/>
      <c r="H222" s="168"/>
      <c r="I222" s="178"/>
      <c r="J222" s="177"/>
      <c r="K222" s="168"/>
      <c r="L222" s="178"/>
      <c r="M222" s="177"/>
      <c r="O222" s="178"/>
      <c r="P222" s="177"/>
      <c r="R222" s="178"/>
      <c r="S222" s="177"/>
      <c r="U222" s="178"/>
      <c r="V222" s="177"/>
      <c r="X222" s="141"/>
      <c r="Y222" s="142"/>
    </row>
    <row r="223" spans="3:25" x14ac:dyDescent="0.3">
      <c r="C223" s="178"/>
      <c r="D223" s="177"/>
      <c r="F223" s="178"/>
      <c r="G223" s="177"/>
      <c r="H223" s="168"/>
      <c r="I223" s="178"/>
      <c r="J223" s="177"/>
      <c r="K223" s="168"/>
      <c r="L223" s="178"/>
      <c r="M223" s="177"/>
      <c r="O223" s="178"/>
      <c r="P223" s="177"/>
      <c r="R223" s="178"/>
      <c r="S223" s="177"/>
      <c r="U223" s="178"/>
      <c r="V223" s="177"/>
      <c r="X223" s="141"/>
      <c r="Y223" s="142"/>
    </row>
    <row r="224" spans="3:25" x14ac:dyDescent="0.3">
      <c r="C224" s="178"/>
      <c r="D224" s="177"/>
      <c r="F224" s="178"/>
      <c r="G224" s="177"/>
      <c r="H224" s="168"/>
      <c r="I224" s="178"/>
      <c r="J224" s="177"/>
      <c r="K224" s="168"/>
      <c r="L224" s="178"/>
      <c r="M224" s="177"/>
      <c r="O224" s="178"/>
      <c r="P224" s="177"/>
      <c r="R224" s="178"/>
      <c r="S224" s="177"/>
      <c r="U224" s="178"/>
      <c r="V224" s="177"/>
      <c r="X224" s="141"/>
      <c r="Y224" s="142"/>
    </row>
    <row r="225" spans="3:25" x14ac:dyDescent="0.3">
      <c r="C225" s="178"/>
      <c r="D225" s="177"/>
      <c r="F225" s="178"/>
      <c r="G225" s="177"/>
      <c r="H225" s="168"/>
      <c r="I225" s="178"/>
      <c r="J225" s="177"/>
      <c r="K225" s="168"/>
      <c r="L225" s="178"/>
      <c r="M225" s="177"/>
      <c r="O225" s="178"/>
      <c r="P225" s="177"/>
      <c r="R225" s="178"/>
      <c r="S225" s="177"/>
      <c r="U225" s="178"/>
      <c r="V225" s="177"/>
      <c r="X225" s="141"/>
      <c r="Y225" s="142"/>
    </row>
    <row r="226" spans="3:25" x14ac:dyDescent="0.3">
      <c r="C226" s="178"/>
      <c r="D226" s="177"/>
      <c r="F226" s="178"/>
      <c r="G226" s="177"/>
      <c r="H226" s="168"/>
      <c r="I226" s="178"/>
      <c r="J226" s="177"/>
      <c r="K226" s="168"/>
      <c r="L226" s="178"/>
      <c r="M226" s="177"/>
      <c r="O226" s="178"/>
      <c r="P226" s="177"/>
      <c r="R226" s="178"/>
      <c r="S226" s="177"/>
      <c r="U226" s="178"/>
      <c r="V226" s="177"/>
      <c r="X226" s="141"/>
      <c r="Y226" s="142"/>
    </row>
    <row r="227" spans="3:25" x14ac:dyDescent="0.3">
      <c r="C227" s="178"/>
      <c r="D227" s="177"/>
      <c r="F227" s="178"/>
      <c r="G227" s="177"/>
      <c r="H227" s="168"/>
      <c r="I227" s="178"/>
      <c r="J227" s="177"/>
      <c r="K227" s="168"/>
      <c r="L227" s="178"/>
      <c r="M227" s="177"/>
      <c r="O227" s="178"/>
      <c r="P227" s="177"/>
      <c r="R227" s="178"/>
      <c r="S227" s="177"/>
      <c r="U227" s="178"/>
      <c r="V227" s="177"/>
      <c r="X227" s="141"/>
      <c r="Y227" s="142"/>
    </row>
    <row r="228" spans="3:25" x14ac:dyDescent="0.3">
      <c r="C228" s="178"/>
      <c r="D228" s="177"/>
      <c r="F228" s="178"/>
      <c r="G228" s="177"/>
      <c r="H228" s="168"/>
      <c r="I228" s="178"/>
      <c r="J228" s="177"/>
      <c r="K228" s="168"/>
      <c r="L228" s="178"/>
      <c r="M228" s="177"/>
      <c r="O228" s="178"/>
      <c r="P228" s="177"/>
      <c r="R228" s="178"/>
      <c r="S228" s="177"/>
      <c r="U228" s="178"/>
      <c r="V228" s="177"/>
      <c r="X228" s="141"/>
      <c r="Y228" s="142"/>
    </row>
    <row r="229" spans="3:25" x14ac:dyDescent="0.3">
      <c r="C229" s="178"/>
      <c r="D229" s="177"/>
      <c r="F229" s="178"/>
      <c r="G229" s="177"/>
      <c r="H229" s="168"/>
      <c r="I229" s="178"/>
      <c r="J229" s="177"/>
      <c r="K229" s="168"/>
      <c r="L229" s="178"/>
      <c r="M229" s="177"/>
      <c r="O229" s="178"/>
      <c r="P229" s="177"/>
      <c r="R229" s="178"/>
      <c r="S229" s="177"/>
      <c r="U229" s="178"/>
      <c r="V229" s="177"/>
      <c r="X229" s="141"/>
      <c r="Y229" s="142"/>
    </row>
    <row r="230" spans="3:25" x14ac:dyDescent="0.3">
      <c r="C230" s="178"/>
      <c r="D230" s="177"/>
      <c r="F230" s="178"/>
      <c r="G230" s="177"/>
      <c r="H230" s="168"/>
      <c r="I230" s="178"/>
      <c r="J230" s="177"/>
      <c r="K230" s="168"/>
      <c r="L230" s="178"/>
      <c r="M230" s="177"/>
      <c r="O230" s="178"/>
      <c r="P230" s="177"/>
      <c r="R230" s="178"/>
      <c r="S230" s="177"/>
      <c r="U230" s="178"/>
      <c r="V230" s="177"/>
      <c r="X230" s="141"/>
      <c r="Y230" s="142"/>
    </row>
    <row r="231" spans="3:25" x14ac:dyDescent="0.3">
      <c r="C231" s="178"/>
      <c r="D231" s="177"/>
      <c r="F231" s="178"/>
      <c r="G231" s="177"/>
      <c r="H231" s="168"/>
      <c r="I231" s="178"/>
      <c r="J231" s="177"/>
      <c r="K231" s="168"/>
      <c r="L231" s="178"/>
      <c r="M231" s="177"/>
      <c r="O231" s="178"/>
      <c r="P231" s="177"/>
      <c r="R231" s="178"/>
      <c r="S231" s="177"/>
      <c r="U231" s="178"/>
      <c r="V231" s="177"/>
      <c r="X231" s="141"/>
      <c r="Y231" s="142"/>
    </row>
    <row r="232" spans="3:25" x14ac:dyDescent="0.3">
      <c r="C232" s="178"/>
      <c r="D232" s="177"/>
      <c r="F232" s="178"/>
      <c r="G232" s="177"/>
      <c r="H232" s="168"/>
      <c r="I232" s="178"/>
      <c r="J232" s="177"/>
      <c r="K232" s="168"/>
      <c r="L232" s="178"/>
      <c r="M232" s="177"/>
      <c r="O232" s="178"/>
      <c r="P232" s="177"/>
      <c r="R232" s="178"/>
      <c r="S232" s="177"/>
      <c r="U232" s="178"/>
      <c r="V232" s="177"/>
      <c r="X232" s="141"/>
      <c r="Y232" s="142"/>
    </row>
    <row r="233" spans="3:25" x14ac:dyDescent="0.3">
      <c r="C233" s="178"/>
      <c r="D233" s="177"/>
      <c r="F233" s="178"/>
      <c r="G233" s="177"/>
      <c r="H233" s="168"/>
      <c r="I233" s="178"/>
      <c r="J233" s="177"/>
      <c r="K233" s="168"/>
      <c r="L233" s="178"/>
      <c r="M233" s="177"/>
      <c r="O233" s="178"/>
      <c r="P233" s="177"/>
      <c r="R233" s="178"/>
      <c r="S233" s="177"/>
      <c r="U233" s="178"/>
      <c r="V233" s="177"/>
      <c r="X233" s="141"/>
      <c r="Y233" s="142"/>
    </row>
    <row r="234" spans="3:25" x14ac:dyDescent="0.3">
      <c r="C234" s="178"/>
      <c r="D234" s="177"/>
      <c r="F234" s="178"/>
      <c r="G234" s="177"/>
      <c r="H234" s="168"/>
      <c r="I234" s="178"/>
      <c r="J234" s="177"/>
      <c r="K234" s="168"/>
      <c r="L234" s="178"/>
      <c r="M234" s="177"/>
      <c r="O234" s="178"/>
      <c r="P234" s="177"/>
      <c r="R234" s="178"/>
      <c r="S234" s="177"/>
      <c r="U234" s="178"/>
      <c r="V234" s="177"/>
      <c r="X234" s="141"/>
      <c r="Y234" s="142"/>
    </row>
    <row r="235" spans="3:25" x14ac:dyDescent="0.3">
      <c r="C235" s="178"/>
      <c r="D235" s="177"/>
      <c r="F235" s="178"/>
      <c r="G235" s="177"/>
      <c r="H235" s="168"/>
      <c r="I235" s="178"/>
      <c r="J235" s="177"/>
      <c r="K235" s="168"/>
      <c r="L235" s="178"/>
      <c r="M235" s="177"/>
      <c r="O235" s="178"/>
      <c r="P235" s="177"/>
      <c r="R235" s="178"/>
      <c r="S235" s="177"/>
      <c r="U235" s="178"/>
      <c r="V235" s="177"/>
      <c r="X235" s="141"/>
      <c r="Y235" s="142"/>
    </row>
    <row r="236" spans="3:25" x14ac:dyDescent="0.3">
      <c r="C236" s="178"/>
      <c r="D236" s="177"/>
      <c r="F236" s="178"/>
      <c r="G236" s="177"/>
      <c r="H236" s="168"/>
      <c r="I236" s="178"/>
      <c r="J236" s="177"/>
      <c r="K236" s="168"/>
      <c r="L236" s="178"/>
      <c r="M236" s="177"/>
      <c r="O236" s="178"/>
      <c r="P236" s="177"/>
      <c r="R236" s="178"/>
      <c r="S236" s="177"/>
      <c r="U236" s="178"/>
      <c r="V236" s="177"/>
      <c r="X236" s="141"/>
      <c r="Y236" s="142"/>
    </row>
    <row r="237" spans="3:25" x14ac:dyDescent="0.3">
      <c r="C237" s="178"/>
      <c r="D237" s="177"/>
      <c r="F237" s="178"/>
      <c r="G237" s="177"/>
      <c r="H237" s="168"/>
      <c r="I237" s="178"/>
      <c r="J237" s="177"/>
      <c r="K237" s="168"/>
      <c r="L237" s="178"/>
      <c r="M237" s="177"/>
      <c r="O237" s="178"/>
      <c r="P237" s="177"/>
      <c r="R237" s="178"/>
      <c r="S237" s="177"/>
      <c r="U237" s="178"/>
      <c r="V237" s="177"/>
      <c r="X237" s="141"/>
      <c r="Y237" s="142"/>
    </row>
    <row r="238" spans="3:25" x14ac:dyDescent="0.3">
      <c r="C238" s="178"/>
      <c r="D238" s="177"/>
      <c r="F238" s="178"/>
      <c r="G238" s="177"/>
      <c r="H238" s="168"/>
      <c r="I238" s="178"/>
      <c r="J238" s="177"/>
      <c r="K238" s="168"/>
      <c r="L238" s="178"/>
      <c r="M238" s="177"/>
      <c r="O238" s="178"/>
      <c r="P238" s="177"/>
      <c r="R238" s="178"/>
      <c r="S238" s="177"/>
      <c r="U238" s="178"/>
      <c r="V238" s="177"/>
      <c r="X238" s="141"/>
      <c r="Y238" s="142"/>
    </row>
    <row r="239" spans="3:25" x14ac:dyDescent="0.3">
      <c r="C239" s="178"/>
      <c r="D239" s="177"/>
      <c r="F239" s="178"/>
      <c r="G239" s="177"/>
      <c r="H239" s="168"/>
      <c r="I239" s="178"/>
      <c r="J239" s="177"/>
      <c r="K239" s="168"/>
      <c r="L239" s="178"/>
      <c r="M239" s="177"/>
      <c r="O239" s="178"/>
      <c r="P239" s="177"/>
      <c r="R239" s="178"/>
      <c r="S239" s="177"/>
      <c r="U239" s="178"/>
      <c r="V239" s="177"/>
      <c r="X239" s="141"/>
      <c r="Y239" s="142"/>
    </row>
    <row r="240" spans="3:25" x14ac:dyDescent="0.3">
      <c r="C240" s="178"/>
      <c r="D240" s="177"/>
      <c r="F240" s="178"/>
      <c r="G240" s="177"/>
      <c r="H240" s="168"/>
      <c r="I240" s="178"/>
      <c r="J240" s="177"/>
      <c r="K240" s="168"/>
      <c r="L240" s="178"/>
      <c r="M240" s="177"/>
      <c r="O240" s="178"/>
      <c r="P240" s="177"/>
      <c r="R240" s="178"/>
      <c r="S240" s="177"/>
      <c r="U240" s="178"/>
      <c r="V240" s="177"/>
      <c r="X240" s="141"/>
      <c r="Y240" s="142"/>
    </row>
    <row r="241" spans="3:25" x14ac:dyDescent="0.3">
      <c r="C241" s="178"/>
      <c r="D241" s="177"/>
      <c r="F241" s="178"/>
      <c r="G241" s="177"/>
      <c r="H241" s="168"/>
      <c r="I241" s="178"/>
      <c r="J241" s="177"/>
      <c r="K241" s="168"/>
      <c r="L241" s="178"/>
      <c r="M241" s="177"/>
      <c r="O241" s="178"/>
      <c r="P241" s="177"/>
      <c r="R241" s="178"/>
      <c r="S241" s="177"/>
      <c r="U241" s="178"/>
      <c r="V241" s="177"/>
      <c r="X241" s="141"/>
      <c r="Y241" s="142"/>
    </row>
    <row r="242" spans="3:25" x14ac:dyDescent="0.3">
      <c r="C242" s="178"/>
      <c r="D242" s="177"/>
      <c r="F242" s="178"/>
      <c r="G242" s="177"/>
      <c r="H242" s="168"/>
      <c r="I242" s="178"/>
      <c r="J242" s="177"/>
      <c r="K242" s="168"/>
      <c r="L242" s="178"/>
      <c r="M242" s="177"/>
      <c r="O242" s="178"/>
      <c r="P242" s="177"/>
      <c r="R242" s="178"/>
      <c r="S242" s="177"/>
      <c r="U242" s="178"/>
      <c r="V242" s="177"/>
      <c r="X242" s="141"/>
      <c r="Y242" s="142"/>
    </row>
    <row r="243" spans="3:25" x14ac:dyDescent="0.3">
      <c r="C243" s="178"/>
      <c r="D243" s="177"/>
      <c r="F243" s="178"/>
      <c r="G243" s="177"/>
      <c r="H243" s="168"/>
      <c r="I243" s="178"/>
      <c r="J243" s="177"/>
      <c r="K243" s="168"/>
      <c r="L243" s="178"/>
      <c r="M243" s="177"/>
      <c r="O243" s="178"/>
      <c r="P243" s="177"/>
      <c r="R243" s="178"/>
      <c r="S243" s="177"/>
      <c r="U243" s="178"/>
      <c r="V243" s="177"/>
      <c r="X243" s="141"/>
      <c r="Y243" s="142"/>
    </row>
    <row r="244" spans="3:25" x14ac:dyDescent="0.3">
      <c r="C244" s="178"/>
      <c r="D244" s="177"/>
      <c r="F244" s="178"/>
      <c r="G244" s="177"/>
      <c r="H244" s="168"/>
      <c r="I244" s="178"/>
      <c r="J244" s="177"/>
      <c r="K244" s="168"/>
      <c r="L244" s="178"/>
      <c r="M244" s="177"/>
      <c r="O244" s="178"/>
      <c r="P244" s="177"/>
      <c r="R244" s="178"/>
      <c r="S244" s="177"/>
      <c r="U244" s="178"/>
      <c r="V244" s="177"/>
      <c r="X244" s="141"/>
      <c r="Y244" s="142"/>
    </row>
    <row r="245" spans="3:25" x14ac:dyDescent="0.3">
      <c r="C245" s="178"/>
      <c r="D245" s="177"/>
      <c r="F245" s="178"/>
      <c r="G245" s="177"/>
      <c r="H245" s="168"/>
      <c r="I245" s="178"/>
      <c r="J245" s="177"/>
      <c r="K245" s="168"/>
      <c r="L245" s="178"/>
      <c r="M245" s="177"/>
      <c r="O245" s="178"/>
      <c r="P245" s="177"/>
      <c r="R245" s="178"/>
      <c r="S245" s="177"/>
      <c r="U245" s="178"/>
      <c r="V245" s="177"/>
      <c r="X245" s="141"/>
      <c r="Y245" s="142"/>
    </row>
    <row r="246" spans="3:25" x14ac:dyDescent="0.3">
      <c r="C246" s="178"/>
      <c r="D246" s="177"/>
      <c r="F246" s="178"/>
      <c r="G246" s="177"/>
      <c r="H246" s="168"/>
      <c r="I246" s="178"/>
      <c r="J246" s="177"/>
      <c r="K246" s="168"/>
      <c r="L246" s="178"/>
      <c r="M246" s="177"/>
      <c r="O246" s="178"/>
      <c r="P246" s="177"/>
      <c r="R246" s="178"/>
      <c r="S246" s="177"/>
      <c r="U246" s="178"/>
      <c r="V246" s="177"/>
      <c r="X246" s="141"/>
      <c r="Y246" s="142"/>
    </row>
    <row r="247" spans="3:25" x14ac:dyDescent="0.3">
      <c r="C247" s="178"/>
      <c r="D247" s="177"/>
      <c r="F247" s="178"/>
      <c r="G247" s="177"/>
      <c r="H247" s="168"/>
      <c r="I247" s="178"/>
      <c r="J247" s="177"/>
      <c r="K247" s="168"/>
      <c r="L247" s="178"/>
      <c r="M247" s="177"/>
      <c r="O247" s="178"/>
      <c r="P247" s="177"/>
      <c r="R247" s="178"/>
      <c r="S247" s="177"/>
      <c r="U247" s="178"/>
      <c r="V247" s="177"/>
      <c r="X247" s="141"/>
      <c r="Y247" s="142"/>
    </row>
    <row r="248" spans="3:25" x14ac:dyDescent="0.3">
      <c r="C248" s="178"/>
      <c r="D248" s="177"/>
      <c r="F248" s="178"/>
      <c r="G248" s="177"/>
      <c r="H248" s="168"/>
      <c r="I248" s="178"/>
      <c r="J248" s="177"/>
      <c r="K248" s="168"/>
      <c r="L248" s="178"/>
      <c r="M248" s="177"/>
      <c r="O248" s="178"/>
      <c r="P248" s="177"/>
      <c r="R248" s="178"/>
      <c r="S248" s="177"/>
      <c r="U248" s="178"/>
      <c r="V248" s="177"/>
      <c r="X248" s="141"/>
      <c r="Y248" s="142"/>
    </row>
    <row r="249" spans="3:25" x14ac:dyDescent="0.3">
      <c r="C249" s="178"/>
      <c r="D249" s="177"/>
      <c r="F249" s="178"/>
      <c r="G249" s="177"/>
      <c r="H249" s="168"/>
      <c r="I249" s="178"/>
      <c r="J249" s="177"/>
      <c r="K249" s="168"/>
      <c r="L249" s="178"/>
      <c r="M249" s="177"/>
      <c r="O249" s="178"/>
      <c r="P249" s="177"/>
      <c r="R249" s="178"/>
      <c r="S249" s="177"/>
      <c r="U249" s="178"/>
      <c r="V249" s="177"/>
      <c r="X249" s="141"/>
      <c r="Y249" s="142"/>
    </row>
    <row r="250" spans="3:25" x14ac:dyDescent="0.3">
      <c r="C250" s="178"/>
      <c r="D250" s="177"/>
      <c r="F250" s="178"/>
      <c r="G250" s="177"/>
      <c r="H250" s="168"/>
      <c r="I250" s="178"/>
      <c r="J250" s="177"/>
      <c r="K250" s="168"/>
      <c r="L250" s="178"/>
      <c r="M250" s="177"/>
      <c r="O250" s="178"/>
      <c r="P250" s="177"/>
      <c r="R250" s="178"/>
      <c r="S250" s="177"/>
      <c r="U250" s="178"/>
      <c r="V250" s="177"/>
      <c r="X250" s="141"/>
      <c r="Y250" s="142"/>
    </row>
    <row r="251" spans="3:25" x14ac:dyDescent="0.3">
      <c r="C251" s="178"/>
      <c r="D251" s="177"/>
      <c r="F251" s="178"/>
      <c r="G251" s="177"/>
      <c r="H251" s="168"/>
      <c r="I251" s="178"/>
      <c r="J251" s="177"/>
      <c r="K251" s="168"/>
      <c r="L251" s="178"/>
      <c r="M251" s="177"/>
      <c r="O251" s="178"/>
      <c r="P251" s="177"/>
      <c r="R251" s="178"/>
      <c r="S251" s="177"/>
      <c r="U251" s="178"/>
      <c r="V251" s="177"/>
      <c r="X251" s="141"/>
      <c r="Y251" s="142"/>
    </row>
    <row r="252" spans="3:25" x14ac:dyDescent="0.3">
      <c r="C252" s="178"/>
      <c r="D252" s="177"/>
      <c r="F252" s="178"/>
      <c r="G252" s="177"/>
      <c r="H252" s="168"/>
      <c r="I252" s="178"/>
      <c r="J252" s="177"/>
      <c r="K252" s="168"/>
      <c r="L252" s="178"/>
      <c r="M252" s="177"/>
      <c r="O252" s="178"/>
      <c r="P252" s="177"/>
      <c r="R252" s="178"/>
      <c r="S252" s="177"/>
      <c r="U252" s="178"/>
      <c r="V252" s="177"/>
      <c r="X252" s="141"/>
      <c r="Y252" s="142"/>
    </row>
    <row r="253" spans="3:25" x14ac:dyDescent="0.3">
      <c r="C253" s="178"/>
      <c r="D253" s="177"/>
      <c r="F253" s="178"/>
      <c r="G253" s="177"/>
      <c r="H253" s="168"/>
      <c r="I253" s="178"/>
      <c r="J253" s="177"/>
      <c r="K253" s="168"/>
      <c r="L253" s="178"/>
      <c r="M253" s="177"/>
      <c r="O253" s="178"/>
      <c r="P253" s="177"/>
      <c r="R253" s="178"/>
      <c r="S253" s="177"/>
      <c r="U253" s="178"/>
      <c r="V253" s="177"/>
      <c r="X253" s="141"/>
      <c r="Y253" s="142"/>
    </row>
    <row r="254" spans="3:25" x14ac:dyDescent="0.3">
      <c r="C254" s="178"/>
      <c r="D254" s="177"/>
      <c r="F254" s="178"/>
      <c r="G254" s="177"/>
      <c r="H254" s="168"/>
      <c r="I254" s="178"/>
      <c r="J254" s="177"/>
      <c r="K254" s="168"/>
      <c r="L254" s="178"/>
      <c r="M254" s="177"/>
      <c r="O254" s="178"/>
      <c r="P254" s="177"/>
      <c r="R254" s="178"/>
      <c r="S254" s="177"/>
      <c r="U254" s="178"/>
      <c r="V254" s="177"/>
      <c r="X254" s="141"/>
      <c r="Y254" s="142"/>
    </row>
    <row r="255" spans="3:25" x14ac:dyDescent="0.3">
      <c r="C255" s="178"/>
      <c r="D255" s="177"/>
      <c r="F255" s="178"/>
      <c r="G255" s="177"/>
      <c r="H255" s="168"/>
      <c r="I255" s="178"/>
      <c r="J255" s="177"/>
      <c r="K255" s="168"/>
      <c r="L255" s="178"/>
      <c r="M255" s="177"/>
      <c r="O255" s="178"/>
      <c r="P255" s="177"/>
      <c r="R255" s="178"/>
      <c r="S255" s="177"/>
      <c r="U255" s="178"/>
      <c r="V255" s="177"/>
      <c r="X255" s="141"/>
      <c r="Y255" s="142"/>
    </row>
    <row r="256" spans="3:25" x14ac:dyDescent="0.3">
      <c r="C256" s="178"/>
      <c r="D256" s="177"/>
      <c r="F256" s="178"/>
      <c r="G256" s="177"/>
      <c r="H256" s="168"/>
      <c r="I256" s="178"/>
      <c r="J256" s="177"/>
      <c r="K256" s="168"/>
      <c r="L256" s="178"/>
      <c r="M256" s="177"/>
      <c r="O256" s="178"/>
      <c r="P256" s="177"/>
      <c r="R256" s="178"/>
      <c r="S256" s="177"/>
      <c r="U256" s="178"/>
      <c r="V256" s="177"/>
      <c r="X256" s="141"/>
      <c r="Y256" s="142"/>
    </row>
    <row r="257" spans="3:25" x14ac:dyDescent="0.3">
      <c r="C257" s="178"/>
      <c r="D257" s="177"/>
      <c r="F257" s="178"/>
      <c r="G257" s="177"/>
      <c r="H257" s="168"/>
      <c r="I257" s="178"/>
      <c r="J257" s="177"/>
      <c r="K257" s="168"/>
      <c r="L257" s="178"/>
      <c r="M257" s="177"/>
      <c r="O257" s="178"/>
      <c r="P257" s="177"/>
      <c r="R257" s="178"/>
      <c r="S257" s="177"/>
      <c r="U257" s="178"/>
      <c r="V257" s="177"/>
      <c r="X257" s="141"/>
      <c r="Y257" s="142"/>
    </row>
    <row r="258" spans="3:25" x14ac:dyDescent="0.3">
      <c r="C258" s="178"/>
      <c r="D258" s="177"/>
      <c r="F258" s="178"/>
      <c r="G258" s="177"/>
      <c r="H258" s="168"/>
      <c r="I258" s="178"/>
      <c r="J258" s="177"/>
      <c r="K258" s="168"/>
      <c r="L258" s="178"/>
      <c r="M258" s="177"/>
      <c r="O258" s="178"/>
      <c r="P258" s="177"/>
      <c r="R258" s="178"/>
      <c r="S258" s="177"/>
      <c r="U258" s="178"/>
      <c r="V258" s="177"/>
      <c r="X258" s="141"/>
      <c r="Y258" s="142"/>
    </row>
    <row r="259" spans="3:25" x14ac:dyDescent="0.3">
      <c r="C259" s="178"/>
      <c r="D259" s="177"/>
      <c r="F259" s="178"/>
      <c r="G259" s="177"/>
      <c r="H259" s="168"/>
      <c r="I259" s="178"/>
      <c r="J259" s="177"/>
      <c r="K259" s="168"/>
      <c r="L259" s="178"/>
      <c r="M259" s="177"/>
      <c r="O259" s="178"/>
      <c r="P259" s="177"/>
      <c r="R259" s="178"/>
      <c r="S259" s="177"/>
      <c r="U259" s="178"/>
      <c r="V259" s="177"/>
      <c r="X259" s="141"/>
      <c r="Y259" s="142"/>
    </row>
    <row r="260" spans="3:25" x14ac:dyDescent="0.3">
      <c r="C260" s="178"/>
      <c r="D260" s="177"/>
      <c r="F260" s="178"/>
      <c r="G260" s="177"/>
      <c r="H260" s="168"/>
      <c r="I260" s="178"/>
      <c r="J260" s="177"/>
      <c r="K260" s="168"/>
      <c r="L260" s="178"/>
      <c r="M260" s="177"/>
      <c r="O260" s="178"/>
      <c r="P260" s="177"/>
      <c r="R260" s="178"/>
      <c r="S260" s="177"/>
      <c r="U260" s="178"/>
      <c r="V260" s="177"/>
      <c r="X260" s="141"/>
      <c r="Y260" s="142"/>
    </row>
    <row r="261" spans="3:25" x14ac:dyDescent="0.3">
      <c r="C261" s="178"/>
      <c r="D261" s="177"/>
      <c r="F261" s="178"/>
      <c r="G261" s="177"/>
      <c r="H261" s="168"/>
      <c r="I261" s="178"/>
      <c r="J261" s="177"/>
      <c r="K261" s="168"/>
      <c r="L261" s="178"/>
      <c r="M261" s="177"/>
      <c r="O261" s="178"/>
      <c r="P261" s="177"/>
      <c r="R261" s="178"/>
      <c r="S261" s="177"/>
      <c r="U261" s="178"/>
      <c r="V261" s="177"/>
      <c r="X261" s="141"/>
      <c r="Y261" s="142"/>
    </row>
    <row r="262" spans="3:25" x14ac:dyDescent="0.3">
      <c r="C262" s="178"/>
      <c r="D262" s="177"/>
      <c r="F262" s="178"/>
      <c r="G262" s="177"/>
      <c r="H262" s="168"/>
      <c r="I262" s="178"/>
      <c r="J262" s="177"/>
      <c r="K262" s="168"/>
      <c r="L262" s="178"/>
      <c r="M262" s="177"/>
      <c r="O262" s="178"/>
      <c r="P262" s="177"/>
      <c r="R262" s="178"/>
      <c r="S262" s="177"/>
      <c r="U262" s="178"/>
      <c r="V262" s="177"/>
      <c r="X262" s="141"/>
      <c r="Y262" s="142"/>
    </row>
    <row r="263" spans="3:25" x14ac:dyDescent="0.3">
      <c r="C263" s="178"/>
      <c r="D263" s="177"/>
      <c r="F263" s="178"/>
      <c r="G263" s="177"/>
      <c r="H263" s="168"/>
      <c r="I263" s="178"/>
      <c r="J263" s="177"/>
      <c r="K263" s="168"/>
      <c r="L263" s="178"/>
      <c r="M263" s="177"/>
      <c r="O263" s="178"/>
      <c r="P263" s="177"/>
      <c r="R263" s="178"/>
      <c r="S263" s="177"/>
      <c r="U263" s="178"/>
      <c r="V263" s="177"/>
      <c r="X263" s="141"/>
      <c r="Y263" s="142"/>
    </row>
    <row r="264" spans="3:25" x14ac:dyDescent="0.3">
      <c r="C264" s="178"/>
      <c r="D264" s="177"/>
      <c r="F264" s="178"/>
      <c r="G264" s="177"/>
      <c r="H264" s="168"/>
      <c r="I264" s="178"/>
      <c r="J264" s="177"/>
      <c r="K264" s="168"/>
      <c r="L264" s="178"/>
      <c r="M264" s="177"/>
      <c r="O264" s="178"/>
      <c r="P264" s="177"/>
      <c r="R264" s="178"/>
      <c r="S264" s="177"/>
      <c r="U264" s="178"/>
      <c r="V264" s="177"/>
      <c r="X264" s="141"/>
      <c r="Y264" s="142"/>
    </row>
    <row r="265" spans="3:25" x14ac:dyDescent="0.3">
      <c r="C265" s="178"/>
      <c r="D265" s="177"/>
      <c r="F265" s="178"/>
      <c r="G265" s="177"/>
      <c r="H265" s="168"/>
      <c r="I265" s="178"/>
      <c r="J265" s="177"/>
      <c r="K265" s="168"/>
      <c r="L265" s="178"/>
      <c r="M265" s="177"/>
      <c r="O265" s="178"/>
      <c r="P265" s="177"/>
      <c r="R265" s="178"/>
      <c r="S265" s="177"/>
      <c r="U265" s="178"/>
      <c r="V265" s="177"/>
      <c r="X265" s="141"/>
      <c r="Y265" s="142"/>
    </row>
    <row r="266" spans="3:25" x14ac:dyDescent="0.3">
      <c r="C266" s="178"/>
      <c r="D266" s="177"/>
      <c r="F266" s="178"/>
      <c r="G266" s="177"/>
      <c r="H266" s="168"/>
      <c r="I266" s="178"/>
      <c r="J266" s="177"/>
      <c r="K266" s="168"/>
      <c r="L266" s="178"/>
      <c r="M266" s="177"/>
      <c r="O266" s="178"/>
      <c r="P266" s="177"/>
      <c r="R266" s="178"/>
      <c r="S266" s="177"/>
      <c r="U266" s="178"/>
      <c r="V266" s="177"/>
      <c r="X266" s="141"/>
      <c r="Y266" s="142"/>
    </row>
    <row r="267" spans="3:25" x14ac:dyDescent="0.3">
      <c r="C267" s="178"/>
      <c r="D267" s="177"/>
      <c r="F267" s="178"/>
      <c r="G267" s="177"/>
      <c r="H267" s="168"/>
      <c r="I267" s="178"/>
      <c r="J267" s="177"/>
      <c r="K267" s="168"/>
      <c r="L267" s="178"/>
      <c r="M267" s="177"/>
      <c r="O267" s="178"/>
      <c r="P267" s="177"/>
      <c r="R267" s="178"/>
      <c r="S267" s="177"/>
      <c r="U267" s="178"/>
      <c r="V267" s="177"/>
      <c r="X267" s="141"/>
      <c r="Y267" s="142"/>
    </row>
    <row r="268" spans="3:25" x14ac:dyDescent="0.3">
      <c r="C268" s="178"/>
      <c r="D268" s="177"/>
      <c r="F268" s="178"/>
      <c r="G268" s="177"/>
      <c r="H268" s="168"/>
      <c r="I268" s="178"/>
      <c r="J268" s="177"/>
      <c r="K268" s="168"/>
      <c r="L268" s="178"/>
      <c r="M268" s="177"/>
      <c r="O268" s="178"/>
      <c r="P268" s="177"/>
      <c r="R268" s="178"/>
      <c r="S268" s="177"/>
      <c r="U268" s="178"/>
      <c r="V268" s="177"/>
      <c r="X268" s="141"/>
      <c r="Y268" s="142"/>
    </row>
    <row r="269" spans="3:25" x14ac:dyDescent="0.3">
      <c r="C269" s="178"/>
      <c r="D269" s="177"/>
      <c r="F269" s="178"/>
      <c r="G269" s="177"/>
      <c r="H269" s="168"/>
      <c r="I269" s="178"/>
      <c r="J269" s="177"/>
      <c r="K269" s="168"/>
      <c r="L269" s="178"/>
      <c r="M269" s="177"/>
      <c r="O269" s="178"/>
      <c r="P269" s="177"/>
      <c r="R269" s="178"/>
      <c r="S269" s="177"/>
      <c r="U269" s="178"/>
      <c r="V269" s="177"/>
      <c r="X269" s="141"/>
      <c r="Y269" s="142"/>
    </row>
    <row r="270" spans="3:25" x14ac:dyDescent="0.3">
      <c r="C270" s="178"/>
      <c r="D270" s="177"/>
      <c r="F270" s="178"/>
      <c r="G270" s="177"/>
      <c r="H270" s="168"/>
      <c r="I270" s="178"/>
      <c r="J270" s="177"/>
      <c r="K270" s="168"/>
      <c r="L270" s="178"/>
      <c r="M270" s="177"/>
      <c r="O270" s="178"/>
      <c r="P270" s="177"/>
      <c r="R270" s="178"/>
      <c r="S270" s="177"/>
      <c r="U270" s="178"/>
      <c r="V270" s="177"/>
      <c r="X270" s="141"/>
      <c r="Y270" s="142"/>
    </row>
    <row r="271" spans="3:25" x14ac:dyDescent="0.3">
      <c r="C271" s="178"/>
      <c r="D271" s="177"/>
      <c r="F271" s="178"/>
      <c r="G271" s="177"/>
      <c r="H271" s="168"/>
      <c r="I271" s="178"/>
      <c r="J271" s="177"/>
      <c r="K271" s="168"/>
      <c r="L271" s="178"/>
      <c r="M271" s="177"/>
      <c r="O271" s="178"/>
      <c r="P271" s="177"/>
      <c r="R271" s="178"/>
      <c r="S271" s="177"/>
      <c r="U271" s="178"/>
      <c r="V271" s="177"/>
      <c r="X271" s="141"/>
      <c r="Y271" s="142"/>
    </row>
    <row r="272" spans="3:25" x14ac:dyDescent="0.3">
      <c r="C272" s="178"/>
      <c r="D272" s="177"/>
      <c r="F272" s="178"/>
      <c r="G272" s="177"/>
      <c r="H272" s="168"/>
      <c r="I272" s="178"/>
      <c r="J272" s="177"/>
      <c r="K272" s="168"/>
      <c r="L272" s="178"/>
      <c r="M272" s="177"/>
      <c r="O272" s="178"/>
      <c r="P272" s="177"/>
      <c r="R272" s="178"/>
      <c r="S272" s="177"/>
      <c r="U272" s="178"/>
      <c r="V272" s="177"/>
      <c r="X272" s="141"/>
      <c r="Y272" s="142"/>
    </row>
    <row r="273" spans="3:25" x14ac:dyDescent="0.3">
      <c r="C273" s="178"/>
      <c r="D273" s="177"/>
      <c r="F273" s="178"/>
      <c r="G273" s="177"/>
      <c r="H273" s="168"/>
      <c r="I273" s="178"/>
      <c r="J273" s="177"/>
      <c r="K273" s="168"/>
      <c r="L273" s="178"/>
      <c r="M273" s="177"/>
      <c r="O273" s="178"/>
      <c r="P273" s="177"/>
      <c r="R273" s="178"/>
      <c r="S273" s="177"/>
      <c r="U273" s="178"/>
      <c r="V273" s="177"/>
      <c r="X273" s="141"/>
      <c r="Y273" s="142"/>
    </row>
    <row r="274" spans="3:25" x14ac:dyDescent="0.3">
      <c r="C274" s="178"/>
      <c r="D274" s="177"/>
      <c r="F274" s="178"/>
      <c r="G274" s="177"/>
      <c r="H274" s="168"/>
      <c r="I274" s="178"/>
      <c r="J274" s="177"/>
      <c r="K274" s="168"/>
      <c r="L274" s="178"/>
      <c r="M274" s="177"/>
      <c r="O274" s="178"/>
      <c r="P274" s="177"/>
      <c r="R274" s="178"/>
      <c r="S274" s="177"/>
      <c r="U274" s="178"/>
      <c r="V274" s="177"/>
      <c r="X274" s="141"/>
      <c r="Y274" s="142"/>
    </row>
    <row r="275" spans="3:25" x14ac:dyDescent="0.3">
      <c r="C275" s="178"/>
      <c r="D275" s="177"/>
      <c r="F275" s="178"/>
      <c r="G275" s="177"/>
      <c r="H275" s="168"/>
      <c r="I275" s="178"/>
      <c r="J275" s="177"/>
      <c r="K275" s="168"/>
      <c r="L275" s="178"/>
      <c r="M275" s="177"/>
      <c r="O275" s="178"/>
      <c r="P275" s="177"/>
      <c r="R275" s="178"/>
      <c r="S275" s="177"/>
      <c r="U275" s="178"/>
      <c r="V275" s="177"/>
      <c r="X275" s="141"/>
      <c r="Y275" s="142"/>
    </row>
    <row r="276" spans="3:25" x14ac:dyDescent="0.3">
      <c r="C276" s="178"/>
      <c r="D276" s="177"/>
      <c r="F276" s="178"/>
      <c r="G276" s="177"/>
      <c r="H276" s="168"/>
      <c r="I276" s="178"/>
      <c r="J276" s="177"/>
      <c r="K276" s="168"/>
      <c r="L276" s="178"/>
      <c r="M276" s="177"/>
      <c r="O276" s="178"/>
      <c r="P276" s="177"/>
      <c r="R276" s="178"/>
      <c r="S276" s="177"/>
      <c r="U276" s="178"/>
      <c r="V276" s="177"/>
      <c r="X276" s="141"/>
      <c r="Y276" s="142"/>
    </row>
    <row r="277" spans="3:25" x14ac:dyDescent="0.3">
      <c r="C277" s="178"/>
      <c r="D277" s="177"/>
      <c r="F277" s="178"/>
      <c r="G277" s="177"/>
      <c r="H277" s="168"/>
      <c r="I277" s="178"/>
      <c r="J277" s="177"/>
      <c r="K277" s="168"/>
      <c r="L277" s="178"/>
      <c r="M277" s="177"/>
      <c r="O277" s="178"/>
      <c r="P277" s="177"/>
      <c r="R277" s="178"/>
      <c r="S277" s="177"/>
      <c r="U277" s="178"/>
      <c r="V277" s="177"/>
      <c r="X277" s="141"/>
      <c r="Y277" s="142"/>
    </row>
    <row r="278" spans="3:25" x14ac:dyDescent="0.3">
      <c r="C278" s="178"/>
      <c r="D278" s="177"/>
      <c r="F278" s="178"/>
      <c r="G278" s="177"/>
      <c r="H278" s="168"/>
      <c r="I278" s="178"/>
      <c r="J278" s="177"/>
      <c r="K278" s="168"/>
      <c r="L278" s="178"/>
      <c r="M278" s="177"/>
      <c r="O278" s="178"/>
      <c r="P278" s="177"/>
      <c r="R278" s="178"/>
      <c r="S278" s="177"/>
      <c r="U278" s="178"/>
      <c r="V278" s="177"/>
      <c r="X278" s="141"/>
      <c r="Y278" s="142"/>
    </row>
    <row r="279" spans="3:25" x14ac:dyDescent="0.3">
      <c r="C279" s="178"/>
      <c r="D279" s="177"/>
      <c r="F279" s="178"/>
      <c r="G279" s="177"/>
      <c r="H279" s="168"/>
      <c r="I279" s="178"/>
      <c r="J279" s="177"/>
      <c r="K279" s="168"/>
      <c r="L279" s="178"/>
      <c r="M279" s="177"/>
      <c r="O279" s="178"/>
      <c r="P279" s="177"/>
      <c r="R279" s="178"/>
      <c r="S279" s="177"/>
      <c r="U279" s="178"/>
      <c r="V279" s="177"/>
      <c r="X279" s="141"/>
      <c r="Y279" s="142"/>
    </row>
    <row r="280" spans="3:25" x14ac:dyDescent="0.3">
      <c r="C280" s="178"/>
      <c r="D280" s="177"/>
      <c r="F280" s="178"/>
      <c r="G280" s="177"/>
      <c r="H280" s="168"/>
      <c r="I280" s="178"/>
      <c r="J280" s="177"/>
      <c r="K280" s="168"/>
      <c r="L280" s="178"/>
      <c r="M280" s="177"/>
      <c r="O280" s="178"/>
      <c r="P280" s="177"/>
      <c r="R280" s="178"/>
      <c r="S280" s="177"/>
      <c r="U280" s="178"/>
      <c r="V280" s="177"/>
      <c r="X280" s="141"/>
      <c r="Y280" s="142"/>
    </row>
    <row r="281" spans="3:25" x14ac:dyDescent="0.3">
      <c r="C281" s="178"/>
      <c r="D281" s="177"/>
      <c r="F281" s="178"/>
      <c r="G281" s="177"/>
      <c r="H281" s="168"/>
      <c r="I281" s="178"/>
      <c r="J281" s="177"/>
      <c r="K281" s="168"/>
      <c r="L281" s="178"/>
      <c r="M281" s="177"/>
      <c r="O281" s="178"/>
      <c r="P281" s="177"/>
      <c r="R281" s="178"/>
      <c r="S281" s="177"/>
      <c r="U281" s="178"/>
      <c r="V281" s="177"/>
      <c r="X281" s="141"/>
      <c r="Y281" s="142"/>
    </row>
    <row r="282" spans="3:25" x14ac:dyDescent="0.3">
      <c r="C282" s="178"/>
      <c r="D282" s="177"/>
      <c r="F282" s="178"/>
      <c r="G282" s="177"/>
      <c r="H282" s="168"/>
      <c r="I282" s="178"/>
      <c r="J282" s="177"/>
      <c r="K282" s="168"/>
      <c r="L282" s="178"/>
      <c r="M282" s="177"/>
      <c r="O282" s="178"/>
      <c r="P282" s="177"/>
      <c r="R282" s="178"/>
      <c r="S282" s="177"/>
      <c r="U282" s="178"/>
      <c r="V282" s="177"/>
      <c r="X282" s="141"/>
      <c r="Y282" s="142"/>
    </row>
    <row r="283" spans="3:25" x14ac:dyDescent="0.3">
      <c r="C283" s="178"/>
      <c r="D283" s="177"/>
      <c r="F283" s="178"/>
      <c r="G283" s="177"/>
      <c r="H283" s="168"/>
      <c r="I283" s="178"/>
      <c r="J283" s="177"/>
      <c r="K283" s="168"/>
      <c r="L283" s="178"/>
      <c r="M283" s="177"/>
      <c r="O283" s="178"/>
      <c r="P283" s="177"/>
      <c r="R283" s="178"/>
      <c r="S283" s="177"/>
      <c r="U283" s="178"/>
      <c r="V283" s="177"/>
      <c r="X283" s="141"/>
      <c r="Y283" s="142"/>
    </row>
    <row r="284" spans="3:25" x14ac:dyDescent="0.3">
      <c r="C284" s="178"/>
      <c r="D284" s="177"/>
      <c r="F284" s="178"/>
      <c r="G284" s="177"/>
      <c r="H284" s="168"/>
      <c r="I284" s="178"/>
      <c r="J284" s="177"/>
      <c r="K284" s="168"/>
      <c r="L284" s="178"/>
      <c r="M284" s="177"/>
      <c r="O284" s="178"/>
      <c r="P284" s="177"/>
      <c r="R284" s="178"/>
      <c r="S284" s="177"/>
      <c r="U284" s="178"/>
      <c r="V284" s="177"/>
      <c r="X284" s="141"/>
      <c r="Y284" s="142"/>
    </row>
    <row r="285" spans="3:25" x14ac:dyDescent="0.3">
      <c r="C285" s="178"/>
      <c r="D285" s="177"/>
      <c r="F285" s="178"/>
      <c r="G285" s="177"/>
      <c r="H285" s="168"/>
      <c r="I285" s="178"/>
      <c r="J285" s="177"/>
      <c r="K285" s="168"/>
      <c r="L285" s="178"/>
      <c r="M285" s="177"/>
      <c r="O285" s="178"/>
      <c r="P285" s="177"/>
      <c r="R285" s="178"/>
      <c r="S285" s="177"/>
      <c r="U285" s="178"/>
      <c r="V285" s="177"/>
      <c r="X285" s="141"/>
      <c r="Y285" s="142"/>
    </row>
    <row r="286" spans="3:25" x14ac:dyDescent="0.3">
      <c r="C286" s="178"/>
      <c r="D286" s="177"/>
      <c r="F286" s="178"/>
      <c r="G286" s="177"/>
      <c r="H286" s="168"/>
      <c r="I286" s="178"/>
      <c r="J286" s="177"/>
      <c r="K286" s="168"/>
      <c r="L286" s="178"/>
      <c r="M286" s="177"/>
      <c r="O286" s="178"/>
      <c r="P286" s="177"/>
      <c r="R286" s="178"/>
      <c r="S286" s="177"/>
      <c r="U286" s="178"/>
      <c r="V286" s="177"/>
      <c r="X286" s="141"/>
      <c r="Y286" s="142"/>
    </row>
    <row r="287" spans="3:25" x14ac:dyDescent="0.3">
      <c r="C287" s="178"/>
      <c r="D287" s="177"/>
      <c r="F287" s="178"/>
      <c r="G287" s="177"/>
      <c r="H287" s="168"/>
      <c r="I287" s="178"/>
      <c r="J287" s="177"/>
      <c r="K287" s="168"/>
      <c r="L287" s="178"/>
      <c r="M287" s="177"/>
      <c r="O287" s="178"/>
      <c r="P287" s="177"/>
      <c r="R287" s="178"/>
      <c r="S287" s="177"/>
      <c r="U287" s="178"/>
      <c r="V287" s="177"/>
      <c r="X287" s="141"/>
      <c r="Y287" s="142"/>
    </row>
    <row r="288" spans="3:25" x14ac:dyDescent="0.3">
      <c r="C288" s="178"/>
      <c r="D288" s="177"/>
      <c r="F288" s="178"/>
      <c r="G288" s="177"/>
      <c r="H288" s="168"/>
      <c r="I288" s="178"/>
      <c r="J288" s="177"/>
      <c r="K288" s="168"/>
      <c r="L288" s="178"/>
      <c r="M288" s="177"/>
      <c r="O288" s="178"/>
      <c r="P288" s="177"/>
      <c r="R288" s="178"/>
      <c r="S288" s="177"/>
      <c r="U288" s="178"/>
      <c r="V288" s="177"/>
      <c r="X288" s="141"/>
      <c r="Y288" s="142"/>
    </row>
    <row r="289" spans="3:25" x14ac:dyDescent="0.3">
      <c r="C289" s="178"/>
      <c r="D289" s="177"/>
      <c r="F289" s="178"/>
      <c r="G289" s="177"/>
      <c r="I289" s="178"/>
      <c r="J289" s="177"/>
      <c r="L289" s="178"/>
      <c r="M289" s="177"/>
      <c r="O289" s="178"/>
      <c r="P289" s="177"/>
      <c r="R289" s="178"/>
      <c r="S289" s="177"/>
      <c r="U289" s="178"/>
      <c r="V289" s="177"/>
      <c r="X289" s="141"/>
      <c r="Y289" s="142"/>
    </row>
    <row r="290" spans="3:25" x14ac:dyDescent="0.3">
      <c r="C290" s="178"/>
      <c r="D290" s="177"/>
      <c r="F290" s="178"/>
      <c r="G290" s="177"/>
      <c r="I290" s="178"/>
      <c r="J290" s="177"/>
      <c r="L290" s="178"/>
      <c r="M290" s="177"/>
      <c r="O290" s="178"/>
      <c r="P290" s="177"/>
      <c r="R290" s="178"/>
      <c r="S290" s="177"/>
      <c r="U290" s="178"/>
      <c r="V290" s="177"/>
      <c r="X290" s="141"/>
      <c r="Y290" s="142"/>
    </row>
    <row r="291" spans="3:25" x14ac:dyDescent="0.3">
      <c r="C291" s="178"/>
      <c r="D291" s="177"/>
      <c r="F291" s="178"/>
      <c r="G291" s="177"/>
      <c r="I291" s="178"/>
      <c r="J291" s="177"/>
      <c r="L291" s="178"/>
      <c r="M291" s="177"/>
      <c r="O291" s="178"/>
      <c r="P291" s="177"/>
      <c r="R291" s="178"/>
      <c r="S291" s="177"/>
      <c r="U291" s="178"/>
      <c r="V291" s="177"/>
      <c r="X291" s="141"/>
      <c r="Y291" s="142"/>
    </row>
    <row r="292" spans="3:25" x14ac:dyDescent="0.3">
      <c r="C292" s="178"/>
      <c r="D292" s="177"/>
      <c r="F292" s="178"/>
      <c r="G292" s="177"/>
      <c r="I292" s="178"/>
      <c r="J292" s="177"/>
      <c r="L292" s="178"/>
      <c r="M292" s="177"/>
      <c r="O292" s="178"/>
      <c r="P292" s="177"/>
      <c r="R292" s="178"/>
      <c r="S292" s="177"/>
      <c r="U292" s="178"/>
      <c r="V292" s="177"/>
      <c r="X292" s="141"/>
      <c r="Y292" s="142"/>
    </row>
    <row r="293" spans="3:25" x14ac:dyDescent="0.3">
      <c r="C293" s="178"/>
      <c r="D293" s="177"/>
      <c r="F293" s="178"/>
      <c r="G293" s="177"/>
      <c r="I293" s="178"/>
      <c r="J293" s="177"/>
      <c r="L293" s="178"/>
      <c r="M293" s="177"/>
      <c r="O293" s="178"/>
      <c r="P293" s="177"/>
      <c r="R293" s="178"/>
      <c r="S293" s="177"/>
      <c r="U293" s="178"/>
      <c r="V293" s="177"/>
      <c r="X293" s="141"/>
      <c r="Y293" s="142"/>
    </row>
    <row r="294" spans="3:25" x14ac:dyDescent="0.3">
      <c r="C294" s="178"/>
      <c r="D294" s="177"/>
      <c r="F294" s="178"/>
      <c r="G294" s="177"/>
      <c r="I294" s="178"/>
      <c r="J294" s="177"/>
      <c r="L294" s="178"/>
      <c r="M294" s="177"/>
      <c r="O294" s="178"/>
      <c r="P294" s="177"/>
      <c r="R294" s="178"/>
      <c r="S294" s="177"/>
      <c r="U294" s="178"/>
      <c r="V294" s="177"/>
      <c r="X294" s="141"/>
      <c r="Y294" s="142"/>
    </row>
    <row r="295" spans="3:25" x14ac:dyDescent="0.3">
      <c r="C295" s="178"/>
      <c r="D295" s="177"/>
      <c r="F295" s="178"/>
      <c r="G295" s="177"/>
      <c r="I295" s="178"/>
      <c r="J295" s="177"/>
      <c r="L295" s="178"/>
      <c r="M295" s="177"/>
      <c r="O295" s="178"/>
      <c r="P295" s="177"/>
      <c r="R295" s="178"/>
      <c r="S295" s="177"/>
      <c r="U295" s="178"/>
      <c r="V295" s="177"/>
      <c r="X295" s="141"/>
      <c r="Y295" s="142"/>
    </row>
    <row r="296" spans="3:25" x14ac:dyDescent="0.3">
      <c r="C296" s="178"/>
      <c r="D296" s="177"/>
      <c r="F296" s="178"/>
      <c r="G296" s="177"/>
      <c r="I296" s="178"/>
      <c r="J296" s="177"/>
      <c r="L296" s="178"/>
      <c r="M296" s="177"/>
      <c r="O296" s="178"/>
      <c r="P296" s="177"/>
      <c r="R296" s="178"/>
      <c r="S296" s="177"/>
      <c r="U296" s="178"/>
      <c r="V296" s="177"/>
      <c r="X296" s="141"/>
      <c r="Y296" s="142"/>
    </row>
    <row r="297" spans="3:25" x14ac:dyDescent="0.3">
      <c r="C297" s="178"/>
      <c r="D297" s="177"/>
      <c r="F297" s="178"/>
      <c r="G297" s="177"/>
      <c r="I297" s="178"/>
      <c r="J297" s="177"/>
      <c r="L297" s="178"/>
      <c r="M297" s="177"/>
      <c r="O297" s="178"/>
      <c r="P297" s="177"/>
      <c r="R297" s="178"/>
      <c r="S297" s="177"/>
      <c r="U297" s="178"/>
      <c r="V297" s="177"/>
      <c r="X297" s="141"/>
      <c r="Y297" s="142"/>
    </row>
    <row r="298" spans="3:25" x14ac:dyDescent="0.3">
      <c r="C298" s="178"/>
      <c r="D298" s="177"/>
      <c r="F298" s="178"/>
      <c r="G298" s="177"/>
      <c r="I298" s="178"/>
      <c r="J298" s="177"/>
      <c r="L298" s="178"/>
      <c r="M298" s="177"/>
      <c r="O298" s="178"/>
      <c r="P298" s="177"/>
      <c r="R298" s="178"/>
      <c r="S298" s="177"/>
      <c r="U298" s="178"/>
      <c r="V298" s="177"/>
      <c r="X298" s="141"/>
      <c r="Y298" s="142"/>
    </row>
    <row r="299" spans="3:25" x14ac:dyDescent="0.3">
      <c r="C299" s="178"/>
      <c r="D299" s="177"/>
      <c r="F299" s="178"/>
      <c r="G299" s="177"/>
      <c r="I299" s="178"/>
      <c r="J299" s="177"/>
      <c r="L299" s="178"/>
      <c r="M299" s="177"/>
      <c r="O299" s="178"/>
      <c r="P299" s="177"/>
      <c r="R299" s="178"/>
      <c r="S299" s="177"/>
      <c r="U299" s="178"/>
      <c r="V299" s="177"/>
      <c r="X299" s="141"/>
      <c r="Y299" s="142"/>
    </row>
    <row r="300" spans="3:25" x14ac:dyDescent="0.3">
      <c r="C300" s="178"/>
      <c r="D300" s="177"/>
      <c r="F300" s="178"/>
      <c r="G300" s="177"/>
      <c r="I300" s="178"/>
      <c r="J300" s="177"/>
      <c r="L300" s="178"/>
      <c r="M300" s="177"/>
      <c r="O300" s="178"/>
      <c r="P300" s="177"/>
      <c r="R300" s="178"/>
      <c r="S300" s="177"/>
      <c r="U300" s="178"/>
      <c r="V300" s="177"/>
      <c r="X300" s="141"/>
      <c r="Y300" s="142"/>
    </row>
    <row r="301" spans="3:25" x14ac:dyDescent="0.3">
      <c r="C301" s="178"/>
      <c r="D301" s="177"/>
      <c r="F301" s="178"/>
      <c r="G301" s="177"/>
      <c r="I301" s="178"/>
      <c r="J301" s="177"/>
      <c r="L301" s="178"/>
      <c r="M301" s="177"/>
      <c r="O301" s="178"/>
      <c r="P301" s="177"/>
      <c r="R301" s="178"/>
      <c r="S301" s="177"/>
      <c r="U301" s="178"/>
      <c r="V301" s="177"/>
      <c r="X301" s="141"/>
      <c r="Y301" s="142"/>
    </row>
    <row r="302" spans="3:25" x14ac:dyDescent="0.3">
      <c r="C302" s="178"/>
      <c r="D302" s="177"/>
      <c r="F302" s="178"/>
      <c r="G302" s="177"/>
      <c r="I302" s="178"/>
      <c r="J302" s="177"/>
      <c r="L302" s="178"/>
      <c r="M302" s="177"/>
      <c r="O302" s="178"/>
      <c r="P302" s="177"/>
      <c r="R302" s="178"/>
      <c r="S302" s="177"/>
      <c r="U302" s="178"/>
      <c r="V302" s="177"/>
      <c r="X302" s="141"/>
      <c r="Y302" s="142"/>
    </row>
    <row r="303" spans="3:25" x14ac:dyDescent="0.3">
      <c r="C303" s="178"/>
      <c r="D303" s="177"/>
      <c r="F303" s="178"/>
      <c r="G303" s="177"/>
      <c r="I303" s="178"/>
      <c r="J303" s="177"/>
      <c r="L303" s="178"/>
      <c r="M303" s="177"/>
      <c r="O303" s="178"/>
      <c r="P303" s="177"/>
      <c r="R303" s="178"/>
      <c r="S303" s="177"/>
      <c r="U303" s="178"/>
      <c r="V303" s="177"/>
      <c r="X303" s="141"/>
      <c r="Y303" s="142"/>
    </row>
    <row r="304" spans="3:25" x14ac:dyDescent="0.3">
      <c r="C304" s="178"/>
      <c r="D304" s="177"/>
      <c r="F304" s="178"/>
      <c r="G304" s="177"/>
      <c r="I304" s="178"/>
      <c r="J304" s="177"/>
      <c r="L304" s="178"/>
      <c r="M304" s="177"/>
      <c r="O304" s="178"/>
      <c r="P304" s="177"/>
      <c r="R304" s="178"/>
      <c r="S304" s="177"/>
      <c r="U304" s="178"/>
      <c r="V304" s="177"/>
      <c r="X304" s="141"/>
      <c r="Y304" s="142"/>
    </row>
    <row r="305" spans="3:25" x14ac:dyDescent="0.3">
      <c r="C305" s="178"/>
      <c r="D305" s="177"/>
      <c r="F305" s="178"/>
      <c r="G305" s="177"/>
      <c r="I305" s="178"/>
      <c r="J305" s="177"/>
      <c r="L305" s="178"/>
      <c r="M305" s="177"/>
      <c r="O305" s="178"/>
      <c r="P305" s="177"/>
      <c r="R305" s="178"/>
      <c r="S305" s="177"/>
      <c r="U305" s="178"/>
      <c r="V305" s="177"/>
      <c r="X305" s="141"/>
      <c r="Y305" s="142"/>
    </row>
    <row r="306" spans="3:25" x14ac:dyDescent="0.3">
      <c r="C306" s="178"/>
      <c r="D306" s="177"/>
      <c r="F306" s="178"/>
      <c r="G306" s="177"/>
      <c r="I306" s="178"/>
      <c r="J306" s="177"/>
      <c r="L306" s="178"/>
      <c r="M306" s="177"/>
      <c r="O306" s="178"/>
      <c r="P306" s="177"/>
      <c r="R306" s="178"/>
      <c r="S306" s="177"/>
      <c r="U306" s="178"/>
      <c r="V306" s="177"/>
      <c r="X306" s="141"/>
      <c r="Y306" s="142"/>
    </row>
    <row r="307" spans="3:25" x14ac:dyDescent="0.3">
      <c r="C307" s="178"/>
      <c r="D307" s="177"/>
      <c r="F307" s="178"/>
      <c r="G307" s="177"/>
      <c r="I307" s="178"/>
      <c r="J307" s="177"/>
      <c r="L307" s="178"/>
      <c r="M307" s="177"/>
      <c r="O307" s="178"/>
      <c r="P307" s="177"/>
      <c r="R307" s="178"/>
      <c r="S307" s="177"/>
      <c r="U307" s="178"/>
      <c r="V307" s="177"/>
      <c r="X307" s="141"/>
      <c r="Y307" s="142"/>
    </row>
    <row r="308" spans="3:25" x14ac:dyDescent="0.3">
      <c r="C308" s="178"/>
      <c r="D308" s="177"/>
      <c r="F308" s="178"/>
      <c r="G308" s="177"/>
      <c r="I308" s="178"/>
      <c r="J308" s="177"/>
      <c r="L308" s="178"/>
      <c r="M308" s="177"/>
      <c r="O308" s="178"/>
      <c r="P308" s="177"/>
      <c r="R308" s="178"/>
      <c r="S308" s="177"/>
      <c r="U308" s="178"/>
      <c r="V308" s="177"/>
      <c r="X308" s="141"/>
      <c r="Y308" s="142"/>
    </row>
    <row r="309" spans="3:25" x14ac:dyDescent="0.3">
      <c r="C309" s="178"/>
      <c r="D309" s="177"/>
      <c r="F309" s="178"/>
      <c r="G309" s="177"/>
      <c r="I309" s="178"/>
      <c r="J309" s="177"/>
      <c r="L309" s="178"/>
      <c r="M309" s="177"/>
      <c r="O309" s="178"/>
      <c r="P309" s="177"/>
      <c r="R309" s="178"/>
      <c r="S309" s="177"/>
      <c r="U309" s="178"/>
      <c r="V309" s="177"/>
      <c r="X309" s="141"/>
      <c r="Y309" s="142"/>
    </row>
    <row r="310" spans="3:25" x14ac:dyDescent="0.3">
      <c r="C310" s="178"/>
      <c r="D310" s="177"/>
      <c r="F310" s="178"/>
      <c r="G310" s="177"/>
      <c r="I310" s="178"/>
      <c r="J310" s="177"/>
      <c r="L310" s="178"/>
      <c r="M310" s="177"/>
      <c r="O310" s="178"/>
      <c r="P310" s="177"/>
      <c r="R310" s="178"/>
      <c r="S310" s="177"/>
      <c r="U310" s="178"/>
      <c r="V310" s="177"/>
      <c r="X310" s="141"/>
      <c r="Y310" s="142"/>
    </row>
    <row r="311" spans="3:25" x14ac:dyDescent="0.3">
      <c r="C311" s="178"/>
      <c r="D311" s="177"/>
      <c r="F311" s="178"/>
      <c r="G311" s="177"/>
      <c r="I311" s="178"/>
      <c r="J311" s="177"/>
      <c r="L311" s="178"/>
      <c r="M311" s="177"/>
      <c r="O311" s="178"/>
      <c r="P311" s="177"/>
      <c r="R311" s="178"/>
      <c r="S311" s="177"/>
      <c r="U311" s="178"/>
      <c r="V311" s="177"/>
      <c r="X311" s="141"/>
      <c r="Y311" s="142"/>
    </row>
    <row r="312" spans="3:25" x14ac:dyDescent="0.3">
      <c r="C312" s="178"/>
      <c r="D312" s="177"/>
      <c r="F312" s="178"/>
      <c r="G312" s="177"/>
      <c r="I312" s="178"/>
      <c r="J312" s="177"/>
      <c r="L312" s="178"/>
      <c r="M312" s="177"/>
      <c r="O312" s="178"/>
      <c r="P312" s="177"/>
      <c r="R312" s="178"/>
      <c r="S312" s="177"/>
      <c r="U312" s="178"/>
      <c r="V312" s="177"/>
      <c r="X312" s="141"/>
      <c r="Y312" s="142"/>
    </row>
    <row r="313" spans="3:25" x14ac:dyDescent="0.3">
      <c r="C313" s="178"/>
      <c r="D313" s="177"/>
      <c r="F313" s="178"/>
      <c r="G313" s="177"/>
      <c r="I313" s="178"/>
      <c r="J313" s="177"/>
      <c r="L313" s="178"/>
      <c r="M313" s="177"/>
      <c r="O313" s="178"/>
      <c r="P313" s="177"/>
      <c r="R313" s="178"/>
      <c r="S313" s="177"/>
      <c r="U313" s="178"/>
      <c r="V313" s="177"/>
      <c r="X313" s="141"/>
      <c r="Y313" s="142"/>
    </row>
    <row r="314" spans="3:25" x14ac:dyDescent="0.3">
      <c r="C314" s="178"/>
      <c r="D314" s="177"/>
      <c r="F314" s="178"/>
      <c r="G314" s="177"/>
      <c r="I314" s="178"/>
      <c r="J314" s="177"/>
      <c r="L314" s="178"/>
      <c r="M314" s="177"/>
      <c r="O314" s="178"/>
      <c r="P314" s="177"/>
      <c r="R314" s="178"/>
      <c r="S314" s="177"/>
      <c r="U314" s="178"/>
      <c r="V314" s="177"/>
      <c r="X314" s="141"/>
      <c r="Y314" s="142"/>
    </row>
    <row r="315" spans="3:25" x14ac:dyDescent="0.3">
      <c r="C315" s="178"/>
      <c r="D315" s="177"/>
      <c r="F315" s="178"/>
      <c r="G315" s="177"/>
      <c r="I315" s="178"/>
      <c r="J315" s="177"/>
      <c r="L315" s="178"/>
      <c r="M315" s="177"/>
      <c r="O315" s="178"/>
      <c r="P315" s="177"/>
      <c r="R315" s="178"/>
      <c r="S315" s="177"/>
      <c r="U315" s="178"/>
      <c r="V315" s="177"/>
      <c r="X315" s="141"/>
      <c r="Y315" s="142"/>
    </row>
    <row r="316" spans="3:25" x14ac:dyDescent="0.3">
      <c r="C316" s="178"/>
      <c r="D316" s="177"/>
      <c r="F316" s="178"/>
      <c r="G316" s="177"/>
      <c r="I316" s="178"/>
      <c r="J316" s="177"/>
      <c r="L316" s="178"/>
      <c r="M316" s="177"/>
      <c r="O316" s="178"/>
      <c r="P316" s="177"/>
      <c r="R316" s="178"/>
      <c r="S316" s="177"/>
      <c r="U316" s="178"/>
      <c r="V316" s="177"/>
      <c r="X316" s="141"/>
      <c r="Y316" s="142"/>
    </row>
    <row r="317" spans="3:25" x14ac:dyDescent="0.3">
      <c r="C317" s="178"/>
      <c r="D317" s="177"/>
      <c r="F317" s="178"/>
      <c r="G317" s="177"/>
      <c r="I317" s="178"/>
      <c r="J317" s="177"/>
      <c r="L317" s="178"/>
      <c r="M317" s="177"/>
      <c r="O317" s="178"/>
      <c r="P317" s="177"/>
      <c r="R317" s="178"/>
      <c r="S317" s="177"/>
      <c r="U317" s="178"/>
      <c r="V317" s="177"/>
      <c r="X317" s="141"/>
      <c r="Y317" s="142"/>
    </row>
    <row r="318" spans="3:25" x14ac:dyDescent="0.3">
      <c r="C318" s="178"/>
      <c r="D318" s="177"/>
      <c r="F318" s="178"/>
      <c r="G318" s="177"/>
      <c r="I318" s="178"/>
      <c r="J318" s="177"/>
      <c r="L318" s="178"/>
      <c r="M318" s="177"/>
      <c r="O318" s="178"/>
      <c r="P318" s="177"/>
      <c r="R318" s="178"/>
      <c r="S318" s="177"/>
      <c r="U318" s="178"/>
      <c r="V318" s="177"/>
      <c r="X318" s="141"/>
      <c r="Y318" s="142"/>
    </row>
    <row r="319" spans="3:25" x14ac:dyDescent="0.3">
      <c r="C319" s="178"/>
      <c r="D319" s="177"/>
      <c r="F319" s="178"/>
      <c r="G319" s="177"/>
      <c r="I319" s="178"/>
      <c r="J319" s="177"/>
      <c r="L319" s="178"/>
      <c r="M319" s="177"/>
      <c r="O319" s="178"/>
      <c r="P319" s="177"/>
      <c r="R319" s="178"/>
      <c r="S319" s="177"/>
      <c r="U319" s="178"/>
      <c r="V319" s="177"/>
      <c r="X319" s="141"/>
      <c r="Y319" s="142"/>
    </row>
    <row r="320" spans="3:25" x14ac:dyDescent="0.3">
      <c r="C320" s="178"/>
      <c r="D320" s="177"/>
      <c r="F320" s="178"/>
      <c r="G320" s="177"/>
      <c r="I320" s="178"/>
      <c r="J320" s="177"/>
      <c r="L320" s="178"/>
      <c r="M320" s="177"/>
      <c r="O320" s="178"/>
      <c r="P320" s="177"/>
      <c r="R320" s="178"/>
      <c r="S320" s="177"/>
      <c r="U320" s="178"/>
      <c r="V320" s="177"/>
      <c r="X320" s="141"/>
      <c r="Y320" s="142"/>
    </row>
    <row r="321" spans="3:25" x14ac:dyDescent="0.3">
      <c r="C321" s="178"/>
      <c r="D321" s="177"/>
      <c r="F321" s="178"/>
      <c r="G321" s="177"/>
      <c r="I321" s="178"/>
      <c r="J321" s="177"/>
      <c r="L321" s="178"/>
      <c r="M321" s="177"/>
      <c r="O321" s="178"/>
      <c r="P321" s="177"/>
      <c r="R321" s="178"/>
      <c r="S321" s="177"/>
      <c r="U321" s="178"/>
      <c r="V321" s="177"/>
      <c r="X321" s="141"/>
      <c r="Y321" s="142"/>
    </row>
    <row r="322" spans="3:25" x14ac:dyDescent="0.3">
      <c r="C322" s="178"/>
      <c r="D322" s="177"/>
      <c r="F322" s="178"/>
      <c r="G322" s="177"/>
      <c r="I322" s="178"/>
      <c r="J322" s="177"/>
      <c r="L322" s="178"/>
      <c r="M322" s="177"/>
      <c r="O322" s="178"/>
      <c r="P322" s="177"/>
      <c r="R322" s="178"/>
      <c r="S322" s="177"/>
      <c r="U322" s="178"/>
      <c r="V322" s="177"/>
      <c r="X322" s="141"/>
      <c r="Y322" s="142"/>
    </row>
    <row r="323" spans="3:25" x14ac:dyDescent="0.3">
      <c r="C323" s="178"/>
      <c r="D323" s="177"/>
      <c r="F323" s="178"/>
      <c r="G323" s="177"/>
      <c r="I323" s="178"/>
      <c r="J323" s="177"/>
      <c r="L323" s="178"/>
      <c r="M323" s="177"/>
      <c r="O323" s="178"/>
      <c r="P323" s="177"/>
      <c r="R323" s="178"/>
      <c r="S323" s="177"/>
      <c r="U323" s="178"/>
      <c r="V323" s="177"/>
      <c r="X323" s="141"/>
      <c r="Y323" s="142"/>
    </row>
    <row r="324" spans="3:25" x14ac:dyDescent="0.3">
      <c r="C324" s="178"/>
      <c r="D324" s="177"/>
      <c r="F324" s="178"/>
      <c r="G324" s="177"/>
      <c r="I324" s="178"/>
      <c r="J324" s="177"/>
      <c r="L324" s="178"/>
      <c r="M324" s="177"/>
      <c r="O324" s="178"/>
      <c r="P324" s="177"/>
      <c r="R324" s="178"/>
      <c r="S324" s="177"/>
      <c r="U324" s="178"/>
      <c r="V324" s="177"/>
      <c r="X324" s="141"/>
      <c r="Y324" s="142"/>
    </row>
    <row r="325" spans="3:25" x14ac:dyDescent="0.3">
      <c r="C325" s="178"/>
      <c r="D325" s="177"/>
      <c r="F325" s="178"/>
      <c r="G325" s="177"/>
      <c r="I325" s="178"/>
      <c r="J325" s="177"/>
      <c r="L325" s="178"/>
      <c r="M325" s="177"/>
      <c r="O325" s="178"/>
      <c r="P325" s="177"/>
      <c r="R325" s="178"/>
      <c r="S325" s="177"/>
      <c r="U325" s="178"/>
      <c r="V325" s="177"/>
      <c r="X325" s="141"/>
      <c r="Y325" s="142"/>
    </row>
    <row r="326" spans="3:25" x14ac:dyDescent="0.3">
      <c r="C326" s="178"/>
      <c r="D326" s="177"/>
      <c r="F326" s="178"/>
      <c r="G326" s="177"/>
      <c r="I326" s="178"/>
      <c r="J326" s="177"/>
      <c r="L326" s="178"/>
      <c r="M326" s="177"/>
      <c r="O326" s="178"/>
      <c r="P326" s="177"/>
      <c r="R326" s="178"/>
      <c r="S326" s="177"/>
      <c r="U326" s="178"/>
      <c r="V326" s="177"/>
      <c r="X326" s="141"/>
      <c r="Y326" s="142"/>
    </row>
    <row r="327" spans="3:25" x14ac:dyDescent="0.3">
      <c r="C327" s="178"/>
      <c r="D327" s="177"/>
      <c r="F327" s="178"/>
      <c r="G327" s="177"/>
      <c r="I327" s="178"/>
      <c r="J327" s="177"/>
      <c r="L327" s="178"/>
      <c r="M327" s="177"/>
      <c r="O327" s="178"/>
      <c r="P327" s="177"/>
      <c r="R327" s="178"/>
      <c r="S327" s="177"/>
      <c r="U327" s="178"/>
      <c r="V327" s="177"/>
      <c r="X327" s="141"/>
      <c r="Y327" s="142"/>
    </row>
    <row r="328" spans="3:25" x14ac:dyDescent="0.3">
      <c r="C328" s="178"/>
      <c r="D328" s="177"/>
      <c r="F328" s="178"/>
      <c r="G328" s="177"/>
      <c r="I328" s="178"/>
      <c r="J328" s="177"/>
      <c r="L328" s="178"/>
      <c r="M328" s="177"/>
      <c r="O328" s="178"/>
      <c r="P328" s="177"/>
      <c r="R328" s="178"/>
      <c r="S328" s="177"/>
      <c r="U328" s="178"/>
      <c r="V328" s="177"/>
      <c r="X328" s="141"/>
      <c r="Y328" s="142"/>
    </row>
    <row r="329" spans="3:25" x14ac:dyDescent="0.3">
      <c r="C329" s="178"/>
      <c r="D329" s="177"/>
      <c r="F329" s="178"/>
      <c r="G329" s="177"/>
      <c r="I329" s="178"/>
      <c r="J329" s="177"/>
      <c r="L329" s="178"/>
      <c r="M329" s="177"/>
      <c r="O329" s="178"/>
      <c r="P329" s="177"/>
      <c r="R329" s="178"/>
      <c r="S329" s="177"/>
      <c r="U329" s="178"/>
      <c r="V329" s="177"/>
      <c r="X329" s="141"/>
      <c r="Y329" s="142"/>
    </row>
    <row r="330" spans="3:25" x14ac:dyDescent="0.3">
      <c r="C330" s="178"/>
      <c r="D330" s="177"/>
      <c r="F330" s="178"/>
      <c r="G330" s="177"/>
      <c r="I330" s="178"/>
      <c r="J330" s="177"/>
      <c r="L330" s="178"/>
      <c r="M330" s="177"/>
      <c r="O330" s="178"/>
      <c r="P330" s="177"/>
      <c r="R330" s="178"/>
      <c r="S330" s="177"/>
      <c r="U330" s="178"/>
      <c r="V330" s="177"/>
      <c r="X330" s="141"/>
      <c r="Y330" s="142"/>
    </row>
    <row r="331" spans="3:25" x14ac:dyDescent="0.3">
      <c r="C331" s="178"/>
      <c r="D331" s="177"/>
      <c r="F331" s="178"/>
      <c r="G331" s="177"/>
      <c r="I331" s="178"/>
      <c r="J331" s="177"/>
      <c r="L331" s="178"/>
      <c r="M331" s="177"/>
      <c r="O331" s="178"/>
      <c r="P331" s="177"/>
      <c r="R331" s="178"/>
      <c r="S331" s="177"/>
      <c r="U331" s="178"/>
      <c r="V331" s="177"/>
      <c r="X331" s="141"/>
      <c r="Y331" s="142"/>
    </row>
    <row r="332" spans="3:25" x14ac:dyDescent="0.3">
      <c r="C332" s="178"/>
      <c r="D332" s="177"/>
      <c r="F332" s="178"/>
      <c r="G332" s="177"/>
      <c r="I332" s="178"/>
      <c r="J332" s="177"/>
      <c r="L332" s="178"/>
      <c r="M332" s="177"/>
      <c r="O332" s="178"/>
      <c r="P332" s="177"/>
      <c r="R332" s="178"/>
      <c r="S332" s="177"/>
      <c r="U332" s="178"/>
      <c r="V332" s="177"/>
      <c r="X332" s="141"/>
      <c r="Y332" s="142"/>
    </row>
    <row r="333" spans="3:25" x14ac:dyDescent="0.3">
      <c r="C333" s="178"/>
      <c r="D333" s="177"/>
      <c r="F333" s="178"/>
      <c r="G333" s="177"/>
      <c r="I333" s="178"/>
      <c r="J333" s="177"/>
      <c r="L333" s="178"/>
      <c r="M333" s="177"/>
      <c r="O333" s="178"/>
      <c r="P333" s="177"/>
      <c r="R333" s="178"/>
      <c r="S333" s="177"/>
      <c r="U333" s="178"/>
      <c r="V333" s="177"/>
      <c r="X333" s="141"/>
      <c r="Y333" s="142"/>
    </row>
    <row r="334" spans="3:25" x14ac:dyDescent="0.3">
      <c r="C334" s="178"/>
      <c r="D334" s="177"/>
      <c r="F334" s="178"/>
      <c r="G334" s="177"/>
      <c r="I334" s="178"/>
      <c r="J334" s="177"/>
      <c r="L334" s="178"/>
      <c r="M334" s="177"/>
      <c r="O334" s="178"/>
      <c r="P334" s="177"/>
      <c r="R334" s="178"/>
      <c r="S334" s="177"/>
      <c r="U334" s="178"/>
      <c r="V334" s="177"/>
      <c r="X334" s="141"/>
      <c r="Y334" s="142"/>
    </row>
    <row r="335" spans="3:25" x14ac:dyDescent="0.3">
      <c r="C335" s="178"/>
      <c r="D335" s="177"/>
      <c r="F335" s="178"/>
      <c r="G335" s="177"/>
      <c r="I335" s="178"/>
      <c r="J335" s="177"/>
      <c r="L335" s="178"/>
      <c r="M335" s="177"/>
      <c r="O335" s="178"/>
      <c r="P335" s="177"/>
      <c r="R335" s="178"/>
      <c r="S335" s="177"/>
      <c r="U335" s="178"/>
      <c r="V335" s="177"/>
      <c r="X335" s="141"/>
      <c r="Y335" s="142"/>
    </row>
    <row r="336" spans="3:25" x14ac:dyDescent="0.3">
      <c r="C336" s="178"/>
      <c r="D336" s="177"/>
      <c r="F336" s="178"/>
      <c r="G336" s="177"/>
      <c r="I336" s="178"/>
      <c r="J336" s="177"/>
      <c r="L336" s="178"/>
      <c r="M336" s="177"/>
      <c r="O336" s="178"/>
      <c r="P336" s="177"/>
      <c r="R336" s="178"/>
      <c r="S336" s="177"/>
      <c r="U336" s="178"/>
      <c r="V336" s="177"/>
      <c r="X336" s="141"/>
      <c r="Y336" s="142"/>
    </row>
    <row r="337" spans="3:25" x14ac:dyDescent="0.3">
      <c r="C337" s="178"/>
      <c r="D337" s="177"/>
      <c r="F337" s="178"/>
      <c r="G337" s="177"/>
      <c r="I337" s="178"/>
      <c r="J337" s="177"/>
      <c r="L337" s="178"/>
      <c r="M337" s="177"/>
      <c r="O337" s="178"/>
      <c r="P337" s="177"/>
      <c r="R337" s="178"/>
      <c r="S337" s="177"/>
      <c r="U337" s="178"/>
      <c r="V337" s="177"/>
      <c r="X337" s="141"/>
      <c r="Y337" s="142"/>
    </row>
    <row r="338" spans="3:25" x14ac:dyDescent="0.3">
      <c r="C338" s="178"/>
      <c r="D338" s="177"/>
      <c r="F338" s="178"/>
      <c r="G338" s="177"/>
      <c r="I338" s="178"/>
      <c r="J338" s="177"/>
      <c r="L338" s="178"/>
      <c r="M338" s="177"/>
      <c r="O338" s="178"/>
      <c r="P338" s="177"/>
      <c r="R338" s="178"/>
      <c r="S338" s="177"/>
      <c r="U338" s="178"/>
      <c r="V338" s="177"/>
      <c r="X338" s="141"/>
      <c r="Y338" s="142"/>
    </row>
    <row r="339" spans="3:25" x14ac:dyDescent="0.3">
      <c r="C339" s="178"/>
      <c r="D339" s="177"/>
      <c r="F339" s="178"/>
      <c r="G339" s="177"/>
      <c r="I339" s="178"/>
      <c r="J339" s="177"/>
      <c r="L339" s="178"/>
      <c r="M339" s="177"/>
      <c r="O339" s="178"/>
      <c r="P339" s="177"/>
      <c r="R339" s="178"/>
      <c r="S339" s="177"/>
      <c r="U339" s="178"/>
      <c r="V339" s="177"/>
      <c r="X339" s="141"/>
      <c r="Y339" s="142"/>
    </row>
    <row r="340" spans="3:25" x14ac:dyDescent="0.3">
      <c r="C340" s="178"/>
      <c r="D340" s="177"/>
      <c r="F340" s="178"/>
      <c r="G340" s="177"/>
      <c r="I340" s="178"/>
      <c r="J340" s="177"/>
      <c r="L340" s="178"/>
      <c r="M340" s="177"/>
      <c r="O340" s="178"/>
      <c r="P340" s="177"/>
      <c r="R340" s="178"/>
      <c r="S340" s="177"/>
      <c r="U340" s="178"/>
      <c r="V340" s="177"/>
      <c r="X340" s="141"/>
      <c r="Y340" s="142"/>
    </row>
    <row r="341" spans="3:25" x14ac:dyDescent="0.3">
      <c r="C341" s="178"/>
      <c r="D341" s="177"/>
      <c r="F341" s="178"/>
      <c r="G341" s="177"/>
      <c r="I341" s="178"/>
      <c r="J341" s="177"/>
      <c r="L341" s="178"/>
      <c r="M341" s="177"/>
      <c r="O341" s="178"/>
      <c r="P341" s="177"/>
      <c r="R341" s="178"/>
      <c r="S341" s="177"/>
      <c r="U341" s="178"/>
      <c r="V341" s="177"/>
      <c r="X341" s="141"/>
      <c r="Y341" s="142"/>
    </row>
    <row r="342" spans="3:25" x14ac:dyDescent="0.3">
      <c r="C342" s="178"/>
      <c r="D342" s="177"/>
      <c r="F342" s="178"/>
      <c r="G342" s="177"/>
      <c r="I342" s="178"/>
      <c r="J342" s="177"/>
      <c r="L342" s="178"/>
      <c r="M342" s="177"/>
      <c r="O342" s="178"/>
      <c r="P342" s="177"/>
      <c r="R342" s="178"/>
      <c r="S342" s="177"/>
      <c r="U342" s="178"/>
      <c r="V342" s="177"/>
      <c r="X342" s="141"/>
      <c r="Y342" s="142"/>
    </row>
    <row r="343" spans="3:25" x14ac:dyDescent="0.3">
      <c r="C343" s="178"/>
      <c r="D343" s="177"/>
      <c r="F343" s="178"/>
      <c r="G343" s="177"/>
      <c r="I343" s="178"/>
      <c r="J343" s="177"/>
      <c r="L343" s="178"/>
      <c r="M343" s="177"/>
      <c r="O343" s="178"/>
      <c r="P343" s="177"/>
      <c r="R343" s="178"/>
      <c r="S343" s="177"/>
      <c r="U343" s="178"/>
      <c r="V343" s="177"/>
      <c r="X343" s="141"/>
      <c r="Y343" s="142"/>
    </row>
    <row r="344" spans="3:25" x14ac:dyDescent="0.3">
      <c r="C344" s="178"/>
      <c r="D344" s="177"/>
      <c r="F344" s="178"/>
      <c r="G344" s="177"/>
      <c r="I344" s="178"/>
      <c r="J344" s="177"/>
      <c r="L344" s="178"/>
      <c r="M344" s="177"/>
      <c r="O344" s="178"/>
      <c r="P344" s="177"/>
      <c r="R344" s="178"/>
      <c r="S344" s="177"/>
      <c r="U344" s="178"/>
      <c r="V344" s="177"/>
      <c r="X344" s="141"/>
      <c r="Y344" s="142"/>
    </row>
    <row r="345" spans="3:25" x14ac:dyDescent="0.3">
      <c r="C345" s="178"/>
      <c r="D345" s="177"/>
      <c r="F345" s="178"/>
      <c r="G345" s="177"/>
      <c r="I345" s="178"/>
      <c r="J345" s="177"/>
      <c r="L345" s="178"/>
      <c r="M345" s="177"/>
      <c r="O345" s="178"/>
      <c r="P345" s="177"/>
      <c r="R345" s="178"/>
      <c r="S345" s="177"/>
      <c r="U345" s="178"/>
      <c r="V345" s="177"/>
      <c r="X345" s="141"/>
      <c r="Y345" s="142"/>
    </row>
    <row r="346" spans="3:25" x14ac:dyDescent="0.3">
      <c r="C346" s="178"/>
      <c r="D346" s="177"/>
      <c r="F346" s="178"/>
      <c r="G346" s="177"/>
      <c r="I346" s="178"/>
      <c r="J346" s="177"/>
      <c r="L346" s="178"/>
      <c r="M346" s="177"/>
      <c r="O346" s="178"/>
      <c r="P346" s="177"/>
      <c r="R346" s="178"/>
      <c r="S346" s="177"/>
      <c r="U346" s="178"/>
      <c r="V346" s="177"/>
      <c r="X346" s="141"/>
      <c r="Y346" s="142"/>
    </row>
    <row r="347" spans="3:25" x14ac:dyDescent="0.3">
      <c r="C347" s="178"/>
      <c r="D347" s="177"/>
      <c r="F347" s="178"/>
      <c r="G347" s="177"/>
      <c r="I347" s="178"/>
      <c r="J347" s="177"/>
      <c r="L347" s="178"/>
      <c r="M347" s="177"/>
      <c r="O347" s="178"/>
      <c r="P347" s="177"/>
      <c r="R347" s="178"/>
      <c r="S347" s="177"/>
      <c r="U347" s="178"/>
      <c r="V347" s="177"/>
      <c r="X347" s="141"/>
      <c r="Y347" s="142"/>
    </row>
    <row r="348" spans="3:25" x14ac:dyDescent="0.3">
      <c r="C348" s="178"/>
      <c r="D348" s="177"/>
      <c r="F348" s="178"/>
      <c r="G348" s="177"/>
      <c r="I348" s="178"/>
      <c r="J348" s="177"/>
      <c r="L348" s="178"/>
      <c r="M348" s="177"/>
      <c r="O348" s="178"/>
      <c r="P348" s="177"/>
      <c r="R348" s="178"/>
      <c r="S348" s="177"/>
      <c r="U348" s="178"/>
      <c r="V348" s="177"/>
      <c r="X348" s="141"/>
      <c r="Y348" s="142"/>
    </row>
    <row r="349" spans="3:25" x14ac:dyDescent="0.3">
      <c r="C349" s="178"/>
      <c r="D349" s="177"/>
      <c r="F349" s="178"/>
      <c r="G349" s="177"/>
      <c r="I349" s="178"/>
      <c r="J349" s="177"/>
      <c r="L349" s="178"/>
      <c r="M349" s="177"/>
      <c r="O349" s="178"/>
      <c r="P349" s="177"/>
      <c r="R349" s="178"/>
      <c r="S349" s="177"/>
      <c r="U349" s="178"/>
      <c r="V349" s="177"/>
      <c r="X349" s="141"/>
      <c r="Y349" s="142"/>
    </row>
    <row r="350" spans="3:25" x14ac:dyDescent="0.3">
      <c r="C350" s="178"/>
      <c r="D350" s="177"/>
      <c r="F350" s="178"/>
      <c r="G350" s="177"/>
      <c r="I350" s="178"/>
      <c r="J350" s="177"/>
      <c r="L350" s="178"/>
      <c r="M350" s="177"/>
      <c r="O350" s="178"/>
      <c r="P350" s="177"/>
      <c r="R350" s="178"/>
      <c r="S350" s="177"/>
      <c r="U350" s="178"/>
      <c r="V350" s="177"/>
      <c r="X350" s="141"/>
      <c r="Y350" s="142"/>
    </row>
    <row r="351" spans="3:25" x14ac:dyDescent="0.3">
      <c r="C351" s="178"/>
      <c r="D351" s="177"/>
      <c r="F351" s="178"/>
      <c r="G351" s="177"/>
      <c r="I351" s="178"/>
      <c r="J351" s="177"/>
      <c r="L351" s="178"/>
      <c r="M351" s="177"/>
      <c r="O351" s="178"/>
      <c r="P351" s="177"/>
      <c r="R351" s="178"/>
      <c r="S351" s="177"/>
      <c r="U351" s="178"/>
      <c r="V351" s="177"/>
      <c r="X351" s="141"/>
      <c r="Y351" s="142"/>
    </row>
    <row r="352" spans="3:25" x14ac:dyDescent="0.3">
      <c r="C352" s="178"/>
      <c r="D352" s="177"/>
      <c r="F352" s="178"/>
      <c r="G352" s="177"/>
      <c r="I352" s="178"/>
      <c r="J352" s="177"/>
      <c r="L352" s="178"/>
      <c r="M352" s="177"/>
      <c r="O352" s="178"/>
      <c r="P352" s="177"/>
      <c r="R352" s="178"/>
      <c r="S352" s="177"/>
      <c r="U352" s="178"/>
      <c r="V352" s="177"/>
      <c r="X352" s="141"/>
      <c r="Y352" s="142"/>
    </row>
    <row r="353" spans="3:25" x14ac:dyDescent="0.3">
      <c r="C353" s="178"/>
      <c r="D353" s="177"/>
      <c r="F353" s="178"/>
      <c r="G353" s="177"/>
      <c r="I353" s="178"/>
      <c r="J353" s="177"/>
      <c r="L353" s="178"/>
      <c r="M353" s="177"/>
      <c r="O353" s="178"/>
      <c r="P353" s="177"/>
      <c r="R353" s="178"/>
      <c r="S353" s="177"/>
      <c r="U353" s="178"/>
      <c r="V353" s="177"/>
      <c r="X353" s="141"/>
      <c r="Y353" s="142"/>
    </row>
    <row r="354" spans="3:25" x14ac:dyDescent="0.3">
      <c r="C354" s="178"/>
      <c r="D354" s="177"/>
      <c r="F354" s="178"/>
      <c r="G354" s="177"/>
      <c r="I354" s="178"/>
      <c r="J354" s="177"/>
      <c r="L354" s="178"/>
      <c r="M354" s="177"/>
      <c r="O354" s="178"/>
      <c r="P354" s="177"/>
      <c r="R354" s="178"/>
      <c r="S354" s="177"/>
      <c r="U354" s="178"/>
      <c r="V354" s="177"/>
      <c r="X354" s="141"/>
      <c r="Y354" s="142"/>
    </row>
    <row r="355" spans="3:25" x14ac:dyDescent="0.3">
      <c r="C355" s="178"/>
      <c r="D355" s="177"/>
      <c r="F355" s="178"/>
      <c r="G355" s="177"/>
      <c r="I355" s="178"/>
      <c r="J355" s="177"/>
      <c r="L355" s="178"/>
      <c r="M355" s="177"/>
      <c r="O355" s="178"/>
      <c r="P355" s="177"/>
      <c r="R355" s="178"/>
      <c r="S355" s="177"/>
      <c r="U355" s="178"/>
      <c r="V355" s="177"/>
      <c r="X355" s="141"/>
      <c r="Y355" s="142"/>
    </row>
    <row r="356" spans="3:25" x14ac:dyDescent="0.3">
      <c r="C356" s="178"/>
      <c r="D356" s="177"/>
      <c r="F356" s="178"/>
      <c r="G356" s="177"/>
      <c r="I356" s="178"/>
      <c r="J356" s="177"/>
      <c r="L356" s="178"/>
      <c r="M356" s="177"/>
      <c r="O356" s="178"/>
      <c r="P356" s="177"/>
      <c r="R356" s="178"/>
      <c r="S356" s="177"/>
      <c r="U356" s="178"/>
      <c r="V356" s="177"/>
      <c r="X356" s="141"/>
      <c r="Y356" s="142"/>
    </row>
    <row r="357" spans="3:25" x14ac:dyDescent="0.3">
      <c r="C357" s="178"/>
      <c r="D357" s="177"/>
      <c r="F357" s="178"/>
      <c r="G357" s="177"/>
      <c r="I357" s="178"/>
      <c r="J357" s="177"/>
      <c r="L357" s="178"/>
      <c r="M357" s="177"/>
      <c r="O357" s="178"/>
      <c r="P357" s="177"/>
      <c r="R357" s="178"/>
      <c r="S357" s="177"/>
      <c r="U357" s="178"/>
      <c r="V357" s="177"/>
      <c r="X357" s="141"/>
      <c r="Y357" s="142"/>
    </row>
    <row r="358" spans="3:25" x14ac:dyDescent="0.3">
      <c r="C358" s="178"/>
      <c r="D358" s="177"/>
      <c r="F358" s="178"/>
      <c r="G358" s="177"/>
      <c r="I358" s="178"/>
      <c r="J358" s="177"/>
      <c r="L358" s="178"/>
      <c r="M358" s="177"/>
      <c r="O358" s="178"/>
      <c r="P358" s="177"/>
      <c r="R358" s="178"/>
      <c r="S358" s="177"/>
      <c r="U358" s="178"/>
      <c r="V358" s="177"/>
      <c r="X358" s="141"/>
      <c r="Y358" s="142"/>
    </row>
    <row r="359" spans="3:25" x14ac:dyDescent="0.3">
      <c r="C359" s="178"/>
      <c r="D359" s="177"/>
      <c r="F359" s="178"/>
      <c r="G359" s="177"/>
      <c r="I359" s="178"/>
      <c r="J359" s="177"/>
      <c r="L359" s="178"/>
      <c r="M359" s="177"/>
      <c r="O359" s="178"/>
      <c r="P359" s="177"/>
      <c r="R359" s="178"/>
      <c r="S359" s="177"/>
      <c r="U359" s="178"/>
      <c r="V359" s="177"/>
      <c r="X359" s="141"/>
      <c r="Y359" s="142"/>
    </row>
    <row r="360" spans="3:25" x14ac:dyDescent="0.3">
      <c r="C360" s="178"/>
      <c r="D360" s="177"/>
      <c r="F360" s="178"/>
      <c r="G360" s="177"/>
      <c r="I360" s="178"/>
      <c r="J360" s="177"/>
      <c r="L360" s="178"/>
      <c r="M360" s="177"/>
      <c r="O360" s="178"/>
      <c r="P360" s="177"/>
      <c r="R360" s="178"/>
      <c r="S360" s="177"/>
      <c r="U360" s="178"/>
      <c r="V360" s="177"/>
      <c r="X360" s="141"/>
      <c r="Y360" s="142"/>
    </row>
    <row r="361" spans="3:25" x14ac:dyDescent="0.3">
      <c r="C361" s="178"/>
      <c r="D361" s="177"/>
      <c r="F361" s="178"/>
      <c r="G361" s="177"/>
      <c r="I361" s="178"/>
      <c r="J361" s="177"/>
      <c r="L361" s="178"/>
      <c r="M361" s="177"/>
      <c r="O361" s="178"/>
      <c r="P361" s="177"/>
      <c r="R361" s="178"/>
      <c r="S361" s="177"/>
      <c r="U361" s="178"/>
      <c r="V361" s="177"/>
      <c r="X361" s="141"/>
      <c r="Y361" s="142"/>
    </row>
    <row r="362" spans="3:25" x14ac:dyDescent="0.3">
      <c r="C362" s="178"/>
      <c r="D362" s="177"/>
      <c r="F362" s="178"/>
      <c r="G362" s="177"/>
      <c r="I362" s="178"/>
      <c r="J362" s="177"/>
      <c r="L362" s="178"/>
      <c r="M362" s="177"/>
      <c r="O362" s="178"/>
      <c r="P362" s="177"/>
      <c r="R362" s="178"/>
      <c r="S362" s="177"/>
      <c r="U362" s="178"/>
      <c r="V362" s="177"/>
      <c r="X362" s="141"/>
      <c r="Y362" s="142"/>
    </row>
    <row r="363" spans="3:25" x14ac:dyDescent="0.3">
      <c r="C363" s="178"/>
      <c r="D363" s="177"/>
      <c r="F363" s="178"/>
      <c r="G363" s="177"/>
      <c r="I363" s="178"/>
      <c r="J363" s="177"/>
      <c r="L363" s="178"/>
      <c r="M363" s="177"/>
      <c r="O363" s="178"/>
      <c r="P363" s="177"/>
      <c r="R363" s="178"/>
      <c r="S363" s="177"/>
      <c r="U363" s="178"/>
      <c r="V363" s="177"/>
      <c r="X363" s="141"/>
      <c r="Y363" s="142"/>
    </row>
    <row r="364" spans="3:25" x14ac:dyDescent="0.3">
      <c r="C364" s="178"/>
      <c r="D364" s="177"/>
      <c r="F364" s="178"/>
      <c r="G364" s="177"/>
      <c r="I364" s="178"/>
      <c r="J364" s="177"/>
      <c r="L364" s="178"/>
      <c r="M364" s="177"/>
      <c r="O364" s="178"/>
      <c r="P364" s="177"/>
      <c r="R364" s="178"/>
      <c r="S364" s="177"/>
      <c r="U364" s="178"/>
      <c r="V364" s="177"/>
      <c r="X364" s="141"/>
      <c r="Y364" s="142"/>
    </row>
    <row r="365" spans="3:25" x14ac:dyDescent="0.3">
      <c r="C365" s="178"/>
      <c r="D365" s="177"/>
      <c r="F365" s="178"/>
      <c r="G365" s="177"/>
      <c r="I365" s="178"/>
      <c r="J365" s="177"/>
      <c r="L365" s="178"/>
      <c r="M365" s="177"/>
      <c r="O365" s="178"/>
      <c r="P365" s="177"/>
      <c r="R365" s="178"/>
      <c r="S365" s="177"/>
      <c r="U365" s="178"/>
      <c r="V365" s="177"/>
      <c r="X365" s="141"/>
      <c r="Y365" s="142"/>
    </row>
    <row r="366" spans="3:25" x14ac:dyDescent="0.3">
      <c r="C366" s="178"/>
      <c r="D366" s="177"/>
      <c r="F366" s="178"/>
      <c r="G366" s="177"/>
      <c r="I366" s="178"/>
      <c r="J366" s="177"/>
      <c r="L366" s="178"/>
      <c r="M366" s="177"/>
      <c r="O366" s="178"/>
      <c r="P366" s="177"/>
      <c r="R366" s="178"/>
      <c r="S366" s="177"/>
      <c r="U366" s="178"/>
      <c r="V366" s="177"/>
      <c r="X366" s="141"/>
      <c r="Y366" s="142"/>
    </row>
    <row r="367" spans="3:25" x14ac:dyDescent="0.3">
      <c r="C367" s="178"/>
      <c r="D367" s="177"/>
      <c r="F367" s="178"/>
      <c r="G367" s="177"/>
      <c r="I367" s="178"/>
      <c r="J367" s="177"/>
      <c r="L367" s="178"/>
      <c r="M367" s="177"/>
      <c r="O367" s="178"/>
      <c r="P367" s="177"/>
      <c r="R367" s="178"/>
      <c r="S367" s="177"/>
      <c r="U367" s="178"/>
      <c r="V367" s="177"/>
      <c r="X367" s="141"/>
      <c r="Y367" s="142"/>
    </row>
    <row r="368" spans="3:25" x14ac:dyDescent="0.3">
      <c r="C368" s="178"/>
      <c r="D368" s="177"/>
      <c r="F368" s="178"/>
      <c r="G368" s="177"/>
      <c r="I368" s="178"/>
      <c r="J368" s="177"/>
      <c r="L368" s="178"/>
      <c r="M368" s="177"/>
      <c r="O368" s="178"/>
      <c r="P368" s="177"/>
      <c r="R368" s="178"/>
      <c r="S368" s="177"/>
      <c r="U368" s="178"/>
      <c r="V368" s="177"/>
      <c r="X368" s="141"/>
      <c r="Y368" s="142"/>
    </row>
    <row r="369" spans="3:25" x14ac:dyDescent="0.3">
      <c r="C369" s="178"/>
      <c r="D369" s="177"/>
      <c r="F369" s="178"/>
      <c r="G369" s="177"/>
      <c r="I369" s="178"/>
      <c r="J369" s="177"/>
      <c r="L369" s="178"/>
      <c r="M369" s="177"/>
      <c r="O369" s="178"/>
      <c r="P369" s="177"/>
      <c r="R369" s="178"/>
      <c r="S369" s="177"/>
      <c r="U369" s="178"/>
      <c r="V369" s="177"/>
      <c r="X369" s="141"/>
      <c r="Y369" s="142"/>
    </row>
    <row r="370" spans="3:25" x14ac:dyDescent="0.3">
      <c r="C370" s="178"/>
      <c r="D370" s="177"/>
      <c r="F370" s="178"/>
      <c r="G370" s="177"/>
      <c r="I370" s="178"/>
      <c r="J370" s="177"/>
      <c r="L370" s="178"/>
      <c r="M370" s="177"/>
      <c r="O370" s="178"/>
      <c r="P370" s="177"/>
      <c r="R370" s="178"/>
      <c r="S370" s="177"/>
      <c r="U370" s="178"/>
      <c r="V370" s="177"/>
      <c r="X370" s="141"/>
      <c r="Y370" s="142"/>
    </row>
    <row r="371" spans="3:25" x14ac:dyDescent="0.3">
      <c r="C371" s="178"/>
      <c r="D371" s="177"/>
      <c r="F371" s="178"/>
      <c r="G371" s="177"/>
      <c r="I371" s="178"/>
      <c r="J371" s="177"/>
      <c r="L371" s="178"/>
      <c r="M371" s="177"/>
      <c r="O371" s="178"/>
      <c r="P371" s="177"/>
      <c r="R371" s="178"/>
      <c r="S371" s="177"/>
      <c r="U371" s="178"/>
      <c r="V371" s="177"/>
      <c r="X371" s="141"/>
      <c r="Y371" s="142"/>
    </row>
    <row r="372" spans="3:25" x14ac:dyDescent="0.3">
      <c r="C372" s="178"/>
      <c r="D372" s="177"/>
      <c r="F372" s="178"/>
      <c r="G372" s="177"/>
      <c r="I372" s="178"/>
      <c r="J372" s="177"/>
      <c r="L372" s="178"/>
      <c r="M372" s="177"/>
      <c r="O372" s="178"/>
      <c r="P372" s="177"/>
      <c r="R372" s="178"/>
      <c r="S372" s="177"/>
      <c r="U372" s="178"/>
      <c r="V372" s="177"/>
      <c r="X372" s="141"/>
      <c r="Y372" s="142"/>
    </row>
    <row r="373" spans="3:25" x14ac:dyDescent="0.3">
      <c r="C373" s="178"/>
      <c r="D373" s="177"/>
      <c r="F373" s="178"/>
      <c r="G373" s="177"/>
      <c r="I373" s="178"/>
      <c r="J373" s="177"/>
      <c r="L373" s="178"/>
      <c r="M373" s="177"/>
      <c r="O373" s="178"/>
      <c r="P373" s="177"/>
      <c r="R373" s="178"/>
      <c r="S373" s="177"/>
      <c r="U373" s="178"/>
      <c r="V373" s="177"/>
      <c r="X373" s="141"/>
      <c r="Y373" s="142"/>
    </row>
    <row r="374" spans="3:25" x14ac:dyDescent="0.3">
      <c r="C374" s="178"/>
      <c r="D374" s="177"/>
      <c r="F374" s="178"/>
      <c r="G374" s="177"/>
      <c r="I374" s="178"/>
      <c r="J374" s="177"/>
      <c r="L374" s="178"/>
      <c r="M374" s="177"/>
      <c r="O374" s="178"/>
      <c r="P374" s="177"/>
      <c r="R374" s="178"/>
      <c r="S374" s="177"/>
      <c r="U374" s="178"/>
      <c r="V374" s="177"/>
      <c r="X374" s="141"/>
      <c r="Y374" s="142"/>
    </row>
    <row r="375" spans="3:25" x14ac:dyDescent="0.3">
      <c r="C375" s="178"/>
      <c r="D375" s="177"/>
      <c r="F375" s="178"/>
      <c r="G375" s="177"/>
      <c r="I375" s="178"/>
      <c r="J375" s="177"/>
      <c r="L375" s="178"/>
      <c r="M375" s="177"/>
      <c r="O375" s="178"/>
      <c r="P375" s="177"/>
      <c r="R375" s="178"/>
      <c r="S375" s="177"/>
      <c r="U375" s="178"/>
      <c r="V375" s="177"/>
      <c r="X375" s="141"/>
      <c r="Y375" s="142"/>
    </row>
    <row r="376" spans="3:25" x14ac:dyDescent="0.3">
      <c r="C376" s="178"/>
      <c r="D376" s="177"/>
      <c r="F376" s="178"/>
      <c r="G376" s="177"/>
      <c r="I376" s="178"/>
      <c r="J376" s="177"/>
      <c r="L376" s="178"/>
      <c r="M376" s="177"/>
      <c r="O376" s="178"/>
      <c r="P376" s="177"/>
      <c r="R376" s="178"/>
      <c r="S376" s="177"/>
      <c r="U376" s="178"/>
      <c r="V376" s="177"/>
      <c r="X376" s="141"/>
      <c r="Y376" s="142"/>
    </row>
    <row r="377" spans="3:25" x14ac:dyDescent="0.3">
      <c r="C377" s="178"/>
      <c r="D377" s="177"/>
      <c r="F377" s="178"/>
      <c r="G377" s="177"/>
      <c r="I377" s="178"/>
      <c r="J377" s="177"/>
      <c r="L377" s="178"/>
      <c r="M377" s="177"/>
      <c r="O377" s="178"/>
      <c r="P377" s="177"/>
      <c r="R377" s="178"/>
      <c r="S377" s="177"/>
      <c r="U377" s="178"/>
      <c r="V377" s="177"/>
      <c r="X377" s="141"/>
      <c r="Y377" s="142"/>
    </row>
    <row r="378" spans="3:25" x14ac:dyDescent="0.3">
      <c r="C378" s="178"/>
      <c r="D378" s="177"/>
      <c r="F378" s="178"/>
      <c r="G378" s="177"/>
      <c r="I378" s="178"/>
      <c r="J378" s="177"/>
      <c r="L378" s="178"/>
      <c r="M378" s="177"/>
      <c r="O378" s="178"/>
      <c r="P378" s="177"/>
      <c r="R378" s="178"/>
      <c r="S378" s="177"/>
      <c r="U378" s="178"/>
      <c r="V378" s="177"/>
      <c r="X378" s="141"/>
      <c r="Y378" s="142"/>
    </row>
    <row r="379" spans="3:25" x14ac:dyDescent="0.3">
      <c r="C379" s="178"/>
      <c r="D379" s="177"/>
      <c r="F379" s="178"/>
      <c r="G379" s="177"/>
      <c r="I379" s="178"/>
      <c r="J379" s="177"/>
      <c r="L379" s="178"/>
      <c r="M379" s="177"/>
      <c r="O379" s="178"/>
      <c r="P379" s="177"/>
      <c r="R379" s="178"/>
      <c r="S379" s="177"/>
      <c r="U379" s="178"/>
      <c r="V379" s="177"/>
      <c r="X379" s="141"/>
      <c r="Y379" s="142"/>
    </row>
    <row r="380" spans="3:25" x14ac:dyDescent="0.3">
      <c r="C380" s="178"/>
      <c r="D380" s="177"/>
      <c r="F380" s="178"/>
      <c r="G380" s="177"/>
      <c r="I380" s="178"/>
      <c r="J380" s="177"/>
      <c r="L380" s="178"/>
      <c r="M380" s="177"/>
      <c r="O380" s="178"/>
      <c r="P380" s="177"/>
      <c r="R380" s="178"/>
      <c r="S380" s="177"/>
      <c r="U380" s="178"/>
      <c r="V380" s="177"/>
      <c r="X380" s="141"/>
      <c r="Y380" s="142"/>
    </row>
    <row r="381" spans="3:25" x14ac:dyDescent="0.3">
      <c r="C381" s="178"/>
      <c r="D381" s="177"/>
      <c r="F381" s="178"/>
      <c r="G381" s="177"/>
      <c r="I381" s="178"/>
      <c r="J381" s="177"/>
      <c r="L381" s="178"/>
      <c r="M381" s="177"/>
      <c r="O381" s="178"/>
      <c r="P381" s="177"/>
      <c r="R381" s="178"/>
      <c r="S381" s="177"/>
      <c r="U381" s="178"/>
      <c r="V381" s="177"/>
      <c r="X381" s="141"/>
      <c r="Y381" s="142"/>
    </row>
    <row r="382" spans="3:25" x14ac:dyDescent="0.3">
      <c r="C382" s="178"/>
      <c r="D382" s="177"/>
      <c r="F382" s="178"/>
      <c r="G382" s="177"/>
      <c r="I382" s="178"/>
      <c r="J382" s="177"/>
      <c r="L382" s="178"/>
      <c r="M382" s="177"/>
      <c r="O382" s="178"/>
      <c r="P382" s="177"/>
      <c r="R382" s="178"/>
      <c r="S382" s="177"/>
      <c r="U382" s="178"/>
      <c r="V382" s="177"/>
      <c r="X382" s="141"/>
      <c r="Y382" s="142"/>
    </row>
    <row r="383" spans="3:25" x14ac:dyDescent="0.3">
      <c r="C383" s="178"/>
      <c r="D383" s="177"/>
      <c r="F383" s="178"/>
      <c r="G383" s="177"/>
      <c r="I383" s="178"/>
      <c r="J383" s="177"/>
      <c r="L383" s="178"/>
      <c r="M383" s="177"/>
      <c r="O383" s="178"/>
      <c r="P383" s="177"/>
      <c r="R383" s="178"/>
      <c r="S383" s="177"/>
      <c r="U383" s="178"/>
      <c r="V383" s="177"/>
      <c r="X383" s="141"/>
      <c r="Y383" s="142"/>
    </row>
    <row r="384" spans="3:25" x14ac:dyDescent="0.3">
      <c r="C384" s="178"/>
      <c r="D384" s="177"/>
      <c r="F384" s="178"/>
      <c r="G384" s="177"/>
      <c r="I384" s="178"/>
      <c r="J384" s="177"/>
      <c r="L384" s="178"/>
      <c r="M384" s="177"/>
      <c r="O384" s="178"/>
      <c r="P384" s="177"/>
      <c r="R384" s="178"/>
      <c r="S384" s="177"/>
      <c r="U384" s="141"/>
      <c r="V384" s="142"/>
      <c r="X384" s="141"/>
      <c r="Y384" s="142"/>
    </row>
    <row r="385" spans="3:25" x14ac:dyDescent="0.3">
      <c r="C385" s="178"/>
      <c r="D385" s="177"/>
      <c r="F385" s="178"/>
      <c r="G385" s="177"/>
      <c r="I385" s="178"/>
      <c r="J385" s="177"/>
      <c r="L385" s="178"/>
      <c r="M385" s="177"/>
      <c r="O385" s="178"/>
      <c r="P385" s="177"/>
      <c r="R385" s="178"/>
      <c r="S385" s="177"/>
      <c r="U385" s="141"/>
      <c r="V385" s="142"/>
      <c r="X385" s="141"/>
      <c r="Y385" s="142"/>
    </row>
    <row r="386" spans="3:25" x14ac:dyDescent="0.3">
      <c r="C386" s="178"/>
      <c r="D386" s="177"/>
      <c r="F386" s="178"/>
      <c r="G386" s="177"/>
      <c r="I386" s="178"/>
      <c r="J386" s="177"/>
      <c r="L386" s="178"/>
      <c r="M386" s="177"/>
      <c r="O386" s="178"/>
      <c r="P386" s="177"/>
      <c r="R386" s="178"/>
      <c r="S386" s="177"/>
      <c r="U386" s="141"/>
      <c r="V386" s="142"/>
      <c r="X386" s="141"/>
      <c r="Y386" s="142"/>
    </row>
    <row r="387" spans="3:25" x14ac:dyDescent="0.3">
      <c r="C387" s="178"/>
      <c r="D387" s="177"/>
      <c r="F387" s="178"/>
      <c r="G387" s="177"/>
      <c r="I387" s="178"/>
      <c r="J387" s="177"/>
      <c r="L387" s="178"/>
      <c r="M387" s="177"/>
      <c r="O387" s="178"/>
      <c r="P387" s="177"/>
      <c r="R387" s="178"/>
      <c r="S387" s="177"/>
      <c r="U387" s="141"/>
      <c r="V387" s="142"/>
      <c r="X387" s="141"/>
      <c r="Y387" s="142"/>
    </row>
    <row r="388" spans="3:25" x14ac:dyDescent="0.3">
      <c r="C388" s="178"/>
      <c r="D388" s="177"/>
      <c r="F388" s="178"/>
      <c r="G388" s="177"/>
      <c r="I388" s="178"/>
      <c r="J388" s="177"/>
      <c r="L388" s="178"/>
      <c r="M388" s="177"/>
      <c r="O388" s="178"/>
      <c r="P388" s="177"/>
      <c r="R388" s="178"/>
      <c r="S388" s="177"/>
      <c r="U388" s="141"/>
      <c r="V388" s="142"/>
      <c r="X388" s="141"/>
      <c r="Y388" s="142"/>
    </row>
    <row r="389" spans="3:25" x14ac:dyDescent="0.3">
      <c r="C389" s="178"/>
      <c r="D389" s="177"/>
      <c r="F389" s="178"/>
      <c r="G389" s="177"/>
      <c r="I389" s="178"/>
      <c r="J389" s="177"/>
      <c r="L389" s="178"/>
      <c r="M389" s="177"/>
      <c r="O389" s="178"/>
      <c r="P389" s="177"/>
      <c r="R389" s="178"/>
      <c r="S389" s="177"/>
      <c r="U389" s="141"/>
      <c r="V389" s="142"/>
      <c r="X389" s="141"/>
      <c r="Y389" s="142"/>
    </row>
    <row r="390" spans="3:25" x14ac:dyDescent="0.3">
      <c r="C390" s="178"/>
      <c r="D390" s="177"/>
      <c r="F390" s="178"/>
      <c r="G390" s="177"/>
      <c r="I390" s="178"/>
      <c r="J390" s="177"/>
      <c r="L390" s="178"/>
      <c r="M390" s="177"/>
      <c r="O390" s="178"/>
      <c r="P390" s="177"/>
      <c r="R390" s="178"/>
      <c r="S390" s="177"/>
      <c r="U390" s="141"/>
      <c r="V390" s="142"/>
      <c r="X390" s="141"/>
      <c r="Y390" s="142"/>
    </row>
    <row r="391" spans="3:25" x14ac:dyDescent="0.3">
      <c r="C391" s="178"/>
      <c r="D391" s="177"/>
      <c r="F391" s="178"/>
      <c r="G391" s="177"/>
      <c r="I391" s="178"/>
      <c r="J391" s="177"/>
      <c r="L391" s="178"/>
      <c r="M391" s="177"/>
      <c r="O391" s="178"/>
      <c r="P391" s="177"/>
      <c r="R391" s="178"/>
      <c r="S391" s="177"/>
      <c r="U391" s="141"/>
      <c r="V391" s="142"/>
      <c r="X391" s="141"/>
      <c r="Y391" s="142"/>
    </row>
    <row r="392" spans="3:25" x14ac:dyDescent="0.3">
      <c r="C392" s="178"/>
      <c r="D392" s="177"/>
      <c r="F392" s="178"/>
      <c r="G392" s="177"/>
      <c r="I392" s="178"/>
      <c r="J392" s="177"/>
      <c r="L392" s="178"/>
      <c r="M392" s="177"/>
      <c r="O392" s="178"/>
      <c r="P392" s="177"/>
      <c r="R392" s="178"/>
      <c r="S392" s="177"/>
      <c r="U392" s="141"/>
      <c r="V392" s="142"/>
      <c r="X392" s="141"/>
      <c r="Y392" s="142"/>
    </row>
    <row r="393" spans="3:25" x14ac:dyDescent="0.3">
      <c r="C393" s="178"/>
      <c r="D393" s="177"/>
      <c r="F393" s="178"/>
      <c r="G393" s="177"/>
      <c r="I393" s="178"/>
      <c r="J393" s="177"/>
      <c r="L393" s="178"/>
      <c r="M393" s="177"/>
      <c r="O393" s="178"/>
      <c r="P393" s="177"/>
      <c r="R393" s="178"/>
      <c r="S393" s="177"/>
      <c r="U393" s="141"/>
      <c r="V393" s="142"/>
      <c r="X393" s="141"/>
      <c r="Y393" s="142"/>
    </row>
    <row r="394" spans="3:25" x14ac:dyDescent="0.3">
      <c r="C394" s="178"/>
      <c r="D394" s="177"/>
      <c r="F394" s="178"/>
      <c r="G394" s="177"/>
      <c r="I394" s="178"/>
      <c r="J394" s="177"/>
      <c r="L394" s="178"/>
      <c r="M394" s="177"/>
      <c r="O394" s="178"/>
      <c r="P394" s="177"/>
      <c r="R394" s="178"/>
      <c r="S394" s="177"/>
      <c r="U394" s="141"/>
      <c r="V394" s="142"/>
      <c r="X394" s="141"/>
      <c r="Y394" s="142"/>
    </row>
    <row r="395" spans="3:25" x14ac:dyDescent="0.3">
      <c r="C395" s="178"/>
      <c r="D395" s="177"/>
      <c r="F395" s="178"/>
      <c r="G395" s="177"/>
      <c r="I395" s="178"/>
      <c r="J395" s="177"/>
      <c r="L395" s="178"/>
      <c r="M395" s="177"/>
      <c r="O395" s="178"/>
      <c r="P395" s="177"/>
      <c r="R395" s="178"/>
      <c r="S395" s="177"/>
      <c r="U395" s="141"/>
      <c r="V395" s="142"/>
      <c r="X395" s="141"/>
      <c r="Y395" s="142"/>
    </row>
    <row r="396" spans="3:25" x14ac:dyDescent="0.3">
      <c r="C396" s="178"/>
      <c r="D396" s="177"/>
      <c r="F396" s="178"/>
      <c r="G396" s="177"/>
      <c r="I396" s="178"/>
      <c r="J396" s="177"/>
      <c r="L396" s="178"/>
      <c r="M396" s="177"/>
      <c r="O396" s="178"/>
      <c r="P396" s="177"/>
      <c r="R396" s="178"/>
      <c r="S396" s="177"/>
      <c r="U396" s="141"/>
      <c r="V396" s="142"/>
      <c r="X396" s="141"/>
      <c r="Y396" s="142"/>
    </row>
    <row r="397" spans="3:25" x14ac:dyDescent="0.3">
      <c r="C397" s="178"/>
      <c r="D397" s="177"/>
      <c r="F397" s="178"/>
      <c r="G397" s="177"/>
      <c r="I397" s="178"/>
      <c r="J397" s="177"/>
      <c r="L397" s="178"/>
      <c r="M397" s="177"/>
      <c r="O397" s="178"/>
      <c r="P397" s="177"/>
      <c r="R397" s="178"/>
      <c r="S397" s="177"/>
      <c r="U397" s="141"/>
      <c r="V397" s="142"/>
      <c r="X397" s="141"/>
      <c r="Y397" s="142"/>
    </row>
    <row r="398" spans="3:25" x14ac:dyDescent="0.3">
      <c r="C398" s="178"/>
      <c r="D398" s="177"/>
      <c r="F398" s="178"/>
      <c r="G398" s="177"/>
      <c r="I398" s="178"/>
      <c r="J398" s="177"/>
      <c r="L398" s="178"/>
      <c r="M398" s="177"/>
      <c r="O398" s="178"/>
      <c r="P398" s="177"/>
      <c r="R398" s="178"/>
      <c r="S398" s="177"/>
      <c r="U398" s="141"/>
      <c r="V398" s="142"/>
      <c r="X398" s="141"/>
      <c r="Y398" s="142"/>
    </row>
    <row r="399" spans="3:25" x14ac:dyDescent="0.3">
      <c r="C399" s="178"/>
      <c r="D399" s="177"/>
      <c r="F399" s="178"/>
      <c r="G399" s="177"/>
      <c r="I399" s="178"/>
      <c r="J399" s="177"/>
      <c r="L399" s="178"/>
      <c r="M399" s="177"/>
      <c r="O399" s="178"/>
      <c r="P399" s="177"/>
      <c r="R399" s="178"/>
      <c r="S399" s="177"/>
      <c r="U399" s="141"/>
      <c r="V399" s="142"/>
      <c r="X399" s="141"/>
      <c r="Y399" s="142"/>
    </row>
    <row r="400" spans="3:25" x14ac:dyDescent="0.3">
      <c r="C400" s="178"/>
      <c r="D400" s="177"/>
      <c r="F400" s="178"/>
      <c r="G400" s="177"/>
      <c r="I400" s="178"/>
      <c r="J400" s="177"/>
      <c r="L400" s="178"/>
      <c r="M400" s="177"/>
      <c r="O400" s="178"/>
      <c r="P400" s="177"/>
      <c r="R400" s="178"/>
      <c r="S400" s="177"/>
      <c r="U400" s="141"/>
      <c r="V400" s="142"/>
      <c r="X400" s="141"/>
      <c r="Y400" s="142"/>
    </row>
    <row r="401" spans="3:25" x14ac:dyDescent="0.3">
      <c r="C401" s="178"/>
      <c r="D401" s="177"/>
      <c r="F401" s="178"/>
      <c r="G401" s="177"/>
      <c r="I401" s="178"/>
      <c r="J401" s="177"/>
      <c r="L401" s="178"/>
      <c r="M401" s="177"/>
      <c r="O401" s="178"/>
      <c r="P401" s="177"/>
      <c r="R401" s="178"/>
      <c r="S401" s="177"/>
      <c r="U401" s="141"/>
      <c r="V401" s="142"/>
      <c r="X401" s="141"/>
      <c r="Y401" s="142"/>
    </row>
    <row r="402" spans="3:25" x14ac:dyDescent="0.3">
      <c r="C402" s="178"/>
      <c r="D402" s="177"/>
      <c r="F402" s="178"/>
      <c r="G402" s="177"/>
      <c r="I402" s="178"/>
      <c r="J402" s="177"/>
      <c r="L402" s="178"/>
      <c r="M402" s="177"/>
      <c r="O402" s="178"/>
      <c r="P402" s="177"/>
      <c r="R402" s="178"/>
      <c r="S402" s="177"/>
      <c r="U402" s="141"/>
      <c r="V402" s="142"/>
      <c r="X402" s="141"/>
      <c r="Y402" s="142"/>
    </row>
    <row r="403" spans="3:25" x14ac:dyDescent="0.3">
      <c r="C403" s="178"/>
      <c r="D403" s="177"/>
      <c r="F403" s="178"/>
      <c r="G403" s="177"/>
      <c r="I403" s="178"/>
      <c r="J403" s="177"/>
      <c r="L403" s="178"/>
      <c r="M403" s="177"/>
      <c r="O403" s="178"/>
      <c r="P403" s="177"/>
      <c r="R403" s="178"/>
      <c r="S403" s="177"/>
      <c r="U403" s="141"/>
      <c r="V403" s="142"/>
      <c r="X403" s="141"/>
      <c r="Y403" s="142"/>
    </row>
    <row r="404" spans="3:25" x14ac:dyDescent="0.3">
      <c r="C404" s="178"/>
      <c r="D404" s="177"/>
      <c r="F404" s="178"/>
      <c r="G404" s="177"/>
      <c r="I404" s="178"/>
      <c r="J404" s="177"/>
      <c r="L404" s="178"/>
      <c r="M404" s="177"/>
      <c r="O404" s="178"/>
      <c r="P404" s="177"/>
      <c r="R404" s="178"/>
      <c r="S404" s="177"/>
      <c r="U404" s="141"/>
      <c r="V404" s="142"/>
      <c r="X404" s="141"/>
      <c r="Y404" s="142"/>
    </row>
    <row r="405" spans="3:25" x14ac:dyDescent="0.3">
      <c r="C405" s="178"/>
      <c r="D405" s="177"/>
      <c r="F405" s="178"/>
      <c r="G405" s="177"/>
      <c r="I405" s="178"/>
      <c r="J405" s="177"/>
      <c r="L405" s="178"/>
      <c r="M405" s="177"/>
      <c r="O405" s="178"/>
      <c r="P405" s="177"/>
      <c r="R405" s="178"/>
      <c r="S405" s="177"/>
      <c r="U405" s="141"/>
      <c r="V405" s="142"/>
      <c r="X405" s="141"/>
      <c r="Y405" s="142"/>
    </row>
    <row r="406" spans="3:25" x14ac:dyDescent="0.3">
      <c r="C406" s="178"/>
      <c r="D406" s="177"/>
      <c r="F406" s="178"/>
      <c r="G406" s="177"/>
      <c r="I406" s="178"/>
      <c r="J406" s="177"/>
      <c r="L406" s="178"/>
      <c r="M406" s="177"/>
      <c r="O406" s="178"/>
      <c r="P406" s="177"/>
      <c r="R406" s="178"/>
      <c r="S406" s="177"/>
      <c r="U406" s="141"/>
      <c r="V406" s="142"/>
      <c r="X406" s="141"/>
      <c r="Y406" s="142"/>
    </row>
    <row r="407" spans="3:25" x14ac:dyDescent="0.3">
      <c r="C407" s="178"/>
      <c r="D407" s="177"/>
      <c r="F407" s="178"/>
      <c r="G407" s="177"/>
      <c r="I407" s="178"/>
      <c r="J407" s="177"/>
      <c r="L407" s="178"/>
      <c r="M407" s="177"/>
      <c r="O407" s="178"/>
      <c r="P407" s="177"/>
      <c r="R407" s="178"/>
      <c r="S407" s="177"/>
      <c r="U407" s="141"/>
      <c r="V407" s="142"/>
      <c r="X407" s="141"/>
      <c r="Y407" s="142"/>
    </row>
    <row r="408" spans="3:25" x14ac:dyDescent="0.3">
      <c r="C408" s="178"/>
      <c r="D408" s="177"/>
      <c r="F408" s="178"/>
      <c r="G408" s="177"/>
      <c r="I408" s="178"/>
      <c r="J408" s="177"/>
      <c r="L408" s="178"/>
      <c r="M408" s="177"/>
      <c r="O408" s="178"/>
      <c r="P408" s="177"/>
      <c r="R408" s="178"/>
      <c r="S408" s="177"/>
      <c r="U408" s="141"/>
      <c r="V408" s="142"/>
      <c r="X408" s="141"/>
      <c r="Y408" s="142"/>
    </row>
    <row r="409" spans="3:25" x14ac:dyDescent="0.3">
      <c r="C409" s="178"/>
      <c r="D409" s="177"/>
      <c r="F409" s="178"/>
      <c r="G409" s="177"/>
      <c r="I409" s="178"/>
      <c r="J409" s="177"/>
      <c r="L409" s="178"/>
      <c r="M409" s="177"/>
      <c r="O409" s="178"/>
      <c r="P409" s="177"/>
      <c r="R409" s="178"/>
      <c r="S409" s="177"/>
      <c r="U409" s="141"/>
      <c r="V409" s="142"/>
      <c r="X409" s="141"/>
      <c r="Y409" s="142"/>
    </row>
    <row r="410" spans="3:25" x14ac:dyDescent="0.3">
      <c r="C410" s="178"/>
      <c r="D410" s="177"/>
      <c r="F410" s="178"/>
      <c r="G410" s="177"/>
      <c r="I410" s="178"/>
      <c r="J410" s="177"/>
      <c r="L410" s="178"/>
      <c r="M410" s="177"/>
      <c r="O410" s="178"/>
      <c r="P410" s="177"/>
      <c r="R410" s="178"/>
      <c r="S410" s="177"/>
      <c r="U410" s="141"/>
      <c r="V410" s="142"/>
      <c r="X410" s="141"/>
      <c r="Y410" s="142"/>
    </row>
    <row r="411" spans="3:25" x14ac:dyDescent="0.3">
      <c r="C411" s="178"/>
      <c r="D411" s="177"/>
      <c r="F411" s="178"/>
      <c r="G411" s="177"/>
      <c r="I411" s="178"/>
      <c r="J411" s="177"/>
      <c r="L411" s="178"/>
      <c r="M411" s="177"/>
      <c r="O411" s="178"/>
      <c r="P411" s="177"/>
      <c r="R411" s="178"/>
      <c r="S411" s="177"/>
      <c r="U411" s="141"/>
      <c r="V411" s="142"/>
      <c r="X411" s="141"/>
      <c r="Y411" s="142"/>
    </row>
    <row r="412" spans="3:25" x14ac:dyDescent="0.3">
      <c r="C412" s="178"/>
      <c r="D412" s="177"/>
      <c r="F412" s="178"/>
      <c r="G412" s="177"/>
      <c r="I412" s="178"/>
      <c r="J412" s="177"/>
      <c r="L412" s="178"/>
      <c r="M412" s="177"/>
      <c r="O412" s="178"/>
      <c r="P412" s="177"/>
      <c r="R412" s="178"/>
      <c r="S412" s="177"/>
      <c r="U412" s="141"/>
      <c r="V412" s="142"/>
      <c r="X412" s="141"/>
      <c r="Y412" s="142"/>
    </row>
    <row r="413" spans="3:25" x14ac:dyDescent="0.3">
      <c r="C413" s="178"/>
      <c r="D413" s="177"/>
      <c r="F413" s="178"/>
      <c r="G413" s="177"/>
      <c r="I413" s="178"/>
      <c r="J413" s="177"/>
      <c r="L413" s="178"/>
      <c r="M413" s="177"/>
      <c r="O413" s="178"/>
      <c r="P413" s="177"/>
      <c r="R413" s="178"/>
      <c r="S413" s="177"/>
      <c r="U413" s="141"/>
      <c r="V413" s="142"/>
      <c r="X413" s="141"/>
      <c r="Y413" s="142"/>
    </row>
    <row r="414" spans="3:25" x14ac:dyDescent="0.3">
      <c r="C414" s="178"/>
      <c r="D414" s="177"/>
      <c r="F414" s="178"/>
      <c r="G414" s="177"/>
      <c r="I414" s="178"/>
      <c r="J414" s="177"/>
      <c r="L414" s="178"/>
      <c r="M414" s="177"/>
      <c r="O414" s="178"/>
      <c r="P414" s="177"/>
      <c r="R414" s="178"/>
      <c r="S414" s="177"/>
      <c r="U414" s="141"/>
      <c r="V414" s="142"/>
      <c r="X414" s="141"/>
      <c r="Y414" s="142"/>
    </row>
    <row r="415" spans="3:25" x14ac:dyDescent="0.3">
      <c r="C415" s="178"/>
      <c r="D415" s="177"/>
      <c r="F415" s="178"/>
      <c r="G415" s="177"/>
      <c r="I415" s="178"/>
      <c r="J415" s="177"/>
      <c r="L415" s="178"/>
      <c r="M415" s="177"/>
      <c r="O415" s="178"/>
      <c r="P415" s="177"/>
      <c r="R415" s="178"/>
      <c r="S415" s="177"/>
      <c r="U415" s="141"/>
      <c r="V415" s="142"/>
      <c r="X415" s="141"/>
      <c r="Y415" s="142"/>
    </row>
    <row r="416" spans="3:25" x14ac:dyDescent="0.3">
      <c r="C416" s="178"/>
      <c r="D416" s="177"/>
      <c r="F416" s="178"/>
      <c r="G416" s="177"/>
      <c r="I416" s="178"/>
      <c r="J416" s="177"/>
      <c r="L416" s="178"/>
      <c r="M416" s="177"/>
      <c r="O416" s="178"/>
      <c r="P416" s="177"/>
      <c r="R416" s="178"/>
      <c r="S416" s="177"/>
      <c r="U416" s="141"/>
      <c r="V416" s="142"/>
      <c r="X416" s="141"/>
      <c r="Y416" s="142"/>
    </row>
    <row r="417" spans="3:25" x14ac:dyDescent="0.3">
      <c r="C417" s="178"/>
      <c r="D417" s="177"/>
      <c r="F417" s="178"/>
      <c r="G417" s="177"/>
      <c r="I417" s="178"/>
      <c r="J417" s="177"/>
      <c r="L417" s="178"/>
      <c r="M417" s="177"/>
      <c r="O417" s="178"/>
      <c r="P417" s="177"/>
      <c r="R417" s="178"/>
      <c r="S417" s="177"/>
      <c r="U417" s="141"/>
      <c r="V417" s="142"/>
      <c r="X417" s="141"/>
      <c r="Y417" s="142"/>
    </row>
    <row r="418" spans="3:25" x14ac:dyDescent="0.3">
      <c r="C418" s="178"/>
      <c r="D418" s="177"/>
      <c r="F418" s="178"/>
      <c r="G418" s="177"/>
      <c r="I418" s="178"/>
      <c r="J418" s="177"/>
      <c r="L418" s="178"/>
      <c r="M418" s="177"/>
      <c r="O418" s="178"/>
      <c r="P418" s="177"/>
      <c r="R418" s="178"/>
      <c r="S418" s="177"/>
      <c r="U418" s="141"/>
      <c r="V418" s="142"/>
      <c r="X418" s="141"/>
      <c r="Y418" s="142"/>
    </row>
    <row r="419" spans="3:25" x14ac:dyDescent="0.3">
      <c r="C419" s="178"/>
      <c r="D419" s="177"/>
      <c r="F419" s="178"/>
      <c r="G419" s="177"/>
      <c r="I419" s="178"/>
      <c r="J419" s="177"/>
      <c r="L419" s="178"/>
      <c r="M419" s="177"/>
      <c r="O419" s="178"/>
      <c r="P419" s="177"/>
      <c r="R419" s="178"/>
      <c r="S419" s="177"/>
      <c r="U419" s="141"/>
      <c r="V419" s="142"/>
      <c r="X419" s="141"/>
      <c r="Y419" s="142"/>
    </row>
    <row r="420" spans="3:25" x14ac:dyDescent="0.3">
      <c r="C420" s="178"/>
      <c r="D420" s="177"/>
      <c r="F420" s="178"/>
      <c r="G420" s="177"/>
      <c r="I420" s="178"/>
      <c r="J420" s="177"/>
      <c r="L420" s="178"/>
      <c r="M420" s="177"/>
      <c r="O420" s="178"/>
      <c r="P420" s="177"/>
      <c r="R420" s="178"/>
      <c r="S420" s="177"/>
      <c r="U420" s="141"/>
      <c r="V420" s="142"/>
      <c r="X420" s="141"/>
      <c r="Y420" s="142"/>
    </row>
    <row r="421" spans="3:25" x14ac:dyDescent="0.3">
      <c r="C421" s="178"/>
      <c r="D421" s="177"/>
      <c r="F421" s="178"/>
      <c r="G421" s="177"/>
      <c r="I421" s="178"/>
      <c r="J421" s="177"/>
      <c r="L421" s="178"/>
      <c r="M421" s="177"/>
      <c r="O421" s="178"/>
      <c r="P421" s="177"/>
      <c r="R421" s="178"/>
      <c r="S421" s="177"/>
      <c r="U421" s="141"/>
      <c r="V421" s="142"/>
      <c r="X421" s="141"/>
      <c r="Y421" s="142"/>
    </row>
    <row r="422" spans="3:25" x14ac:dyDescent="0.3">
      <c r="C422" s="178"/>
      <c r="D422" s="177"/>
      <c r="F422" s="178"/>
      <c r="G422" s="177"/>
      <c r="I422" s="178"/>
      <c r="J422" s="177"/>
      <c r="L422" s="178"/>
      <c r="M422" s="177"/>
      <c r="O422" s="178"/>
      <c r="P422" s="177"/>
      <c r="R422" s="178"/>
      <c r="S422" s="177"/>
      <c r="U422" s="141"/>
      <c r="V422" s="142"/>
      <c r="X422" s="141"/>
      <c r="Y422" s="142"/>
    </row>
    <row r="423" spans="3:25" x14ac:dyDescent="0.3">
      <c r="C423" s="178"/>
      <c r="D423" s="177"/>
      <c r="F423" s="178"/>
      <c r="G423" s="177"/>
      <c r="I423" s="178"/>
      <c r="J423" s="177"/>
      <c r="L423" s="178"/>
      <c r="M423" s="177"/>
      <c r="O423" s="178"/>
      <c r="P423" s="177"/>
      <c r="R423" s="178"/>
      <c r="S423" s="177"/>
      <c r="U423" s="141"/>
      <c r="V423" s="142"/>
      <c r="X423" s="141"/>
      <c r="Y423" s="142"/>
    </row>
    <row r="424" spans="3:25" x14ac:dyDescent="0.3">
      <c r="C424" s="178"/>
      <c r="D424" s="177"/>
      <c r="F424" s="178"/>
      <c r="G424" s="177"/>
      <c r="I424" s="178"/>
      <c r="J424" s="177"/>
      <c r="L424" s="178"/>
      <c r="M424" s="177"/>
      <c r="O424" s="178"/>
      <c r="P424" s="177"/>
      <c r="R424" s="178"/>
      <c r="S424" s="177"/>
      <c r="U424" s="141"/>
      <c r="V424" s="142"/>
      <c r="X424" s="141"/>
      <c r="Y424" s="142"/>
    </row>
    <row r="425" spans="3:25" x14ac:dyDescent="0.3">
      <c r="C425" s="178"/>
      <c r="D425" s="177"/>
      <c r="F425" s="178"/>
      <c r="G425" s="177"/>
      <c r="I425" s="178"/>
      <c r="J425" s="177"/>
      <c r="L425" s="178"/>
      <c r="M425" s="177"/>
      <c r="O425" s="178"/>
      <c r="P425" s="177"/>
      <c r="R425" s="178"/>
      <c r="S425" s="177"/>
      <c r="U425" s="141"/>
      <c r="V425" s="142"/>
      <c r="X425" s="141"/>
      <c r="Y425" s="142"/>
    </row>
    <row r="426" spans="3:25" x14ac:dyDescent="0.3">
      <c r="C426" s="178"/>
      <c r="D426" s="177"/>
      <c r="F426" s="178"/>
      <c r="G426" s="177"/>
      <c r="I426" s="178"/>
      <c r="J426" s="177"/>
      <c r="L426" s="178"/>
      <c r="M426" s="177"/>
      <c r="O426" s="178"/>
      <c r="P426" s="177"/>
      <c r="R426" s="178"/>
      <c r="S426" s="177"/>
      <c r="U426" s="141"/>
      <c r="V426" s="142"/>
      <c r="X426" s="141"/>
      <c r="Y426" s="142"/>
    </row>
    <row r="427" spans="3:25" x14ac:dyDescent="0.3">
      <c r="C427" s="178"/>
      <c r="D427" s="177"/>
      <c r="F427" s="178"/>
      <c r="G427" s="177"/>
      <c r="I427" s="178"/>
      <c r="J427" s="177"/>
      <c r="L427" s="178"/>
      <c r="M427" s="177"/>
      <c r="O427" s="178"/>
      <c r="P427" s="177"/>
      <c r="R427" s="178"/>
      <c r="S427" s="177"/>
      <c r="U427" s="141"/>
      <c r="V427" s="142"/>
      <c r="X427" s="141"/>
      <c r="Y427" s="142"/>
    </row>
    <row r="428" spans="3:25" x14ac:dyDescent="0.3">
      <c r="C428" s="178"/>
      <c r="D428" s="177"/>
      <c r="F428" s="178"/>
      <c r="G428" s="177"/>
      <c r="I428" s="178"/>
      <c r="J428" s="177"/>
      <c r="L428" s="178"/>
      <c r="M428" s="177"/>
      <c r="O428" s="178"/>
      <c r="P428" s="177"/>
      <c r="R428" s="178"/>
      <c r="S428" s="177"/>
      <c r="U428" s="141"/>
      <c r="V428" s="142"/>
      <c r="X428" s="141"/>
      <c r="Y428" s="142"/>
    </row>
    <row r="429" spans="3:25" x14ac:dyDescent="0.3">
      <c r="C429" s="178"/>
      <c r="D429" s="177"/>
      <c r="F429" s="178"/>
      <c r="G429" s="177"/>
      <c r="I429" s="178"/>
      <c r="J429" s="177"/>
      <c r="L429" s="178"/>
      <c r="M429" s="177"/>
      <c r="O429" s="178"/>
      <c r="P429" s="177"/>
      <c r="R429" s="178"/>
      <c r="S429" s="177"/>
      <c r="U429" s="141"/>
      <c r="V429" s="142"/>
      <c r="X429" s="141"/>
      <c r="Y429" s="142"/>
    </row>
    <row r="430" spans="3:25" x14ac:dyDescent="0.3">
      <c r="C430" s="178"/>
      <c r="D430" s="177"/>
      <c r="F430" s="178"/>
      <c r="G430" s="177"/>
      <c r="I430" s="178"/>
      <c r="J430" s="177"/>
      <c r="L430" s="178"/>
      <c r="M430" s="177"/>
      <c r="O430" s="178"/>
      <c r="P430" s="177"/>
      <c r="R430" s="178"/>
      <c r="S430" s="177"/>
      <c r="U430" s="141"/>
      <c r="V430" s="142"/>
      <c r="X430" s="141"/>
      <c r="Y430" s="142"/>
    </row>
    <row r="431" spans="3:25" x14ac:dyDescent="0.3">
      <c r="C431" s="178"/>
      <c r="D431" s="177"/>
      <c r="F431" s="178"/>
      <c r="G431" s="177"/>
      <c r="I431" s="178"/>
      <c r="J431" s="177"/>
      <c r="L431" s="178"/>
      <c r="M431" s="177"/>
      <c r="O431" s="178"/>
      <c r="P431" s="177"/>
      <c r="R431" s="178"/>
      <c r="S431" s="177"/>
      <c r="U431" s="141"/>
      <c r="V431" s="142"/>
      <c r="X431" s="141"/>
      <c r="Y431" s="142"/>
    </row>
    <row r="432" spans="3:25" x14ac:dyDescent="0.3">
      <c r="C432" s="178"/>
      <c r="D432" s="177"/>
      <c r="F432" s="178"/>
      <c r="G432" s="177"/>
      <c r="I432" s="178"/>
      <c r="J432" s="177"/>
      <c r="L432" s="178"/>
      <c r="M432" s="177"/>
      <c r="O432" s="178"/>
      <c r="P432" s="177"/>
      <c r="R432" s="178"/>
      <c r="S432" s="177"/>
      <c r="U432" s="141"/>
      <c r="V432" s="142"/>
      <c r="X432" s="141"/>
      <c r="Y432" s="142"/>
    </row>
    <row r="433" spans="3:25" x14ac:dyDescent="0.3">
      <c r="C433" s="178"/>
      <c r="D433" s="177"/>
      <c r="F433" s="178"/>
      <c r="G433" s="177"/>
      <c r="I433" s="178"/>
      <c r="J433" s="177"/>
      <c r="L433" s="178"/>
      <c r="M433" s="177"/>
      <c r="O433" s="178"/>
      <c r="P433" s="177"/>
      <c r="R433" s="178"/>
      <c r="S433" s="177"/>
      <c r="U433" s="141"/>
      <c r="V433" s="142"/>
      <c r="X433" s="141"/>
      <c r="Y433" s="142"/>
    </row>
    <row r="434" spans="3:25" x14ac:dyDescent="0.3">
      <c r="C434" s="178"/>
      <c r="D434" s="177"/>
      <c r="F434" s="178"/>
      <c r="G434" s="177"/>
      <c r="I434" s="178"/>
      <c r="J434" s="177"/>
      <c r="L434" s="178"/>
      <c r="M434" s="177"/>
      <c r="O434" s="178"/>
      <c r="P434" s="177"/>
      <c r="R434" s="178"/>
      <c r="S434" s="177"/>
      <c r="U434" s="141"/>
      <c r="V434" s="142"/>
      <c r="X434" s="141"/>
      <c r="Y434" s="142"/>
    </row>
    <row r="435" spans="3:25" x14ac:dyDescent="0.3">
      <c r="C435" s="178"/>
      <c r="D435" s="177"/>
      <c r="F435" s="178"/>
      <c r="G435" s="177"/>
      <c r="I435" s="178"/>
      <c r="J435" s="177"/>
      <c r="L435" s="178"/>
      <c r="M435" s="177"/>
      <c r="O435" s="178"/>
      <c r="P435" s="177"/>
      <c r="R435" s="178"/>
      <c r="S435" s="177"/>
      <c r="U435" s="141"/>
      <c r="V435" s="142"/>
      <c r="X435" s="141"/>
      <c r="Y435" s="142"/>
    </row>
    <row r="436" spans="3:25" x14ac:dyDescent="0.3">
      <c r="C436" s="178"/>
      <c r="D436" s="177"/>
      <c r="F436" s="178"/>
      <c r="G436" s="177"/>
      <c r="I436" s="178"/>
      <c r="J436" s="177"/>
      <c r="L436" s="178"/>
      <c r="M436" s="177"/>
      <c r="O436" s="178"/>
      <c r="P436" s="177"/>
      <c r="R436" s="178"/>
      <c r="S436" s="177"/>
      <c r="U436" s="141"/>
      <c r="V436" s="142"/>
      <c r="X436" s="141"/>
      <c r="Y436" s="142"/>
    </row>
    <row r="437" spans="3:25" x14ac:dyDescent="0.3">
      <c r="C437" s="178"/>
      <c r="D437" s="177"/>
      <c r="F437" s="178"/>
      <c r="G437" s="177"/>
      <c r="I437" s="178"/>
      <c r="J437" s="177"/>
      <c r="L437" s="178"/>
      <c r="M437" s="177"/>
      <c r="O437" s="178"/>
      <c r="P437" s="177"/>
      <c r="R437" s="178"/>
      <c r="S437" s="177"/>
      <c r="U437" s="141"/>
      <c r="V437" s="142"/>
      <c r="X437" s="141"/>
      <c r="Y437" s="142"/>
    </row>
    <row r="438" spans="3:25" x14ac:dyDescent="0.3">
      <c r="C438" s="178"/>
      <c r="D438" s="177"/>
      <c r="F438" s="178"/>
      <c r="G438" s="177"/>
      <c r="I438" s="178"/>
      <c r="J438" s="177"/>
      <c r="L438" s="178"/>
      <c r="M438" s="177"/>
      <c r="O438" s="178"/>
      <c r="P438" s="177"/>
      <c r="R438" s="178"/>
      <c r="S438" s="177"/>
      <c r="U438" s="141"/>
      <c r="V438" s="142"/>
      <c r="X438" s="141"/>
      <c r="Y438" s="142"/>
    </row>
    <row r="439" spans="3:25" x14ac:dyDescent="0.3">
      <c r="C439" s="178"/>
      <c r="D439" s="177"/>
      <c r="F439" s="178"/>
      <c r="G439" s="177"/>
      <c r="I439" s="178"/>
      <c r="J439" s="177"/>
      <c r="L439" s="178"/>
      <c r="M439" s="177"/>
      <c r="O439" s="178"/>
      <c r="P439" s="177"/>
      <c r="R439" s="178"/>
      <c r="S439" s="177"/>
      <c r="U439" s="141"/>
      <c r="V439" s="142"/>
      <c r="X439" s="141"/>
      <c r="Y439" s="142"/>
    </row>
    <row r="440" spans="3:25" x14ac:dyDescent="0.3">
      <c r="C440" s="178"/>
      <c r="D440" s="177"/>
      <c r="F440" s="178"/>
      <c r="G440" s="177"/>
      <c r="I440" s="178"/>
      <c r="J440" s="177"/>
      <c r="L440" s="178"/>
      <c r="M440" s="177"/>
      <c r="O440" s="178"/>
      <c r="P440" s="177"/>
      <c r="R440" s="178"/>
      <c r="S440" s="177"/>
      <c r="U440" s="141"/>
      <c r="V440" s="142"/>
      <c r="X440" s="141"/>
      <c r="Y440" s="142"/>
    </row>
    <row r="441" spans="3:25" x14ac:dyDescent="0.3">
      <c r="C441" s="178"/>
      <c r="D441" s="177"/>
      <c r="F441" s="178"/>
      <c r="G441" s="177"/>
      <c r="I441" s="178"/>
      <c r="J441" s="177"/>
      <c r="L441" s="178"/>
      <c r="M441" s="177"/>
      <c r="O441" s="178"/>
      <c r="P441" s="177"/>
      <c r="R441" s="178"/>
      <c r="S441" s="177"/>
      <c r="U441" s="141"/>
      <c r="V441" s="142"/>
      <c r="X441" s="141"/>
      <c r="Y441" s="142"/>
    </row>
    <row r="442" spans="3:25" x14ac:dyDescent="0.3">
      <c r="C442" s="178"/>
      <c r="D442" s="177"/>
      <c r="F442" s="178"/>
      <c r="G442" s="177"/>
      <c r="I442" s="178"/>
      <c r="J442" s="177"/>
      <c r="L442" s="178"/>
      <c r="M442" s="177"/>
      <c r="O442" s="178"/>
      <c r="P442" s="177"/>
      <c r="R442" s="178"/>
      <c r="S442" s="177"/>
      <c r="U442" s="141"/>
      <c r="V442" s="142"/>
      <c r="X442" s="141"/>
      <c r="Y442" s="142"/>
    </row>
    <row r="443" spans="3:25" x14ac:dyDescent="0.3">
      <c r="C443" s="178"/>
      <c r="D443" s="177"/>
      <c r="F443" s="178"/>
      <c r="G443" s="177"/>
      <c r="I443" s="178"/>
      <c r="J443" s="177"/>
      <c r="L443" s="178"/>
      <c r="M443" s="177"/>
      <c r="O443" s="178"/>
      <c r="P443" s="177"/>
      <c r="R443" s="178"/>
      <c r="S443" s="177"/>
      <c r="U443" s="141"/>
      <c r="V443" s="142"/>
      <c r="X443" s="141"/>
      <c r="Y443" s="142"/>
    </row>
    <row r="444" spans="3:25" x14ac:dyDescent="0.3">
      <c r="C444" s="178"/>
      <c r="D444" s="177"/>
      <c r="F444" s="178"/>
      <c r="G444" s="177"/>
      <c r="I444" s="178"/>
      <c r="J444" s="177"/>
      <c r="L444" s="178"/>
      <c r="M444" s="177"/>
      <c r="O444" s="178"/>
      <c r="P444" s="177"/>
      <c r="R444" s="178"/>
      <c r="S444" s="177"/>
      <c r="U444" s="141"/>
      <c r="V444" s="142"/>
      <c r="X444" s="141"/>
      <c r="Y444" s="142"/>
    </row>
    <row r="445" spans="3:25" x14ac:dyDescent="0.3">
      <c r="C445" s="178"/>
      <c r="D445" s="177"/>
      <c r="F445" s="178"/>
      <c r="G445" s="177"/>
      <c r="I445" s="178"/>
      <c r="J445" s="177"/>
      <c r="L445" s="178"/>
      <c r="M445" s="177"/>
      <c r="O445" s="178"/>
      <c r="P445" s="177"/>
      <c r="R445" s="178"/>
      <c r="S445" s="177"/>
      <c r="U445" s="141"/>
      <c r="V445" s="142"/>
      <c r="X445" s="141"/>
      <c r="Y445" s="142"/>
    </row>
    <row r="446" spans="3:25" x14ac:dyDescent="0.3">
      <c r="C446" s="178"/>
      <c r="D446" s="177"/>
      <c r="F446" s="178"/>
      <c r="G446" s="177"/>
      <c r="I446" s="178"/>
      <c r="J446" s="177"/>
      <c r="L446" s="178"/>
      <c r="M446" s="177"/>
      <c r="O446" s="178"/>
      <c r="P446" s="177"/>
      <c r="R446" s="178"/>
      <c r="S446" s="177"/>
      <c r="U446" s="141"/>
      <c r="V446" s="142"/>
      <c r="X446" s="141"/>
      <c r="Y446" s="142"/>
    </row>
    <row r="447" spans="3:25" x14ac:dyDescent="0.3">
      <c r="C447" s="178"/>
      <c r="D447" s="177"/>
      <c r="F447" s="178"/>
      <c r="G447" s="177"/>
      <c r="I447" s="178"/>
      <c r="J447" s="177"/>
      <c r="L447" s="178"/>
      <c r="M447" s="177"/>
      <c r="O447" s="178"/>
      <c r="P447" s="177"/>
      <c r="R447" s="178"/>
      <c r="S447" s="177"/>
      <c r="U447" s="141"/>
      <c r="V447" s="142"/>
      <c r="X447" s="141"/>
      <c r="Y447" s="142"/>
    </row>
    <row r="448" spans="3:25" x14ac:dyDescent="0.3">
      <c r="C448" s="178"/>
      <c r="D448" s="177"/>
      <c r="F448" s="178"/>
      <c r="G448" s="177"/>
      <c r="I448" s="178"/>
      <c r="J448" s="177"/>
      <c r="L448" s="178"/>
      <c r="M448" s="177"/>
      <c r="O448" s="178"/>
      <c r="P448" s="177"/>
      <c r="R448" s="178"/>
      <c r="S448" s="177"/>
      <c r="U448" s="141"/>
      <c r="V448" s="142"/>
      <c r="X448" s="141"/>
      <c r="Y448" s="142"/>
    </row>
    <row r="449" spans="3:25" x14ac:dyDescent="0.3">
      <c r="C449" s="178"/>
      <c r="D449" s="177"/>
      <c r="F449" s="178"/>
      <c r="G449" s="177"/>
      <c r="I449" s="178"/>
      <c r="J449" s="177"/>
      <c r="L449" s="178"/>
      <c r="M449" s="177"/>
      <c r="O449" s="178"/>
      <c r="P449" s="177"/>
      <c r="R449" s="178"/>
      <c r="S449" s="177"/>
      <c r="U449" s="141"/>
      <c r="V449" s="142"/>
      <c r="X449" s="141"/>
      <c r="Y449" s="142"/>
    </row>
    <row r="450" spans="3:25" x14ac:dyDescent="0.3">
      <c r="C450" s="178"/>
      <c r="D450" s="177"/>
      <c r="F450" s="178"/>
      <c r="G450" s="177"/>
      <c r="I450" s="178"/>
      <c r="J450" s="177"/>
      <c r="L450" s="178"/>
      <c r="M450" s="177"/>
      <c r="O450" s="178"/>
      <c r="P450" s="177"/>
      <c r="R450" s="178"/>
      <c r="S450" s="177"/>
      <c r="U450" s="141"/>
      <c r="V450" s="142"/>
      <c r="X450" s="141"/>
      <c r="Y450" s="142"/>
    </row>
    <row r="451" spans="3:25" x14ac:dyDescent="0.3">
      <c r="C451" s="178"/>
      <c r="D451" s="177"/>
      <c r="F451" s="178"/>
      <c r="G451" s="177"/>
      <c r="I451" s="178"/>
      <c r="J451" s="177"/>
      <c r="L451" s="178"/>
      <c r="M451" s="177"/>
      <c r="O451" s="178"/>
      <c r="P451" s="177"/>
      <c r="R451" s="178"/>
      <c r="S451" s="177"/>
      <c r="U451" s="141"/>
      <c r="V451" s="142"/>
      <c r="X451" s="141"/>
      <c r="Y451" s="142"/>
    </row>
    <row r="452" spans="3:25" x14ac:dyDescent="0.3">
      <c r="C452" s="178"/>
      <c r="D452" s="177"/>
      <c r="F452" s="178"/>
      <c r="G452" s="177"/>
      <c r="I452" s="178"/>
      <c r="J452" s="177"/>
      <c r="L452" s="178"/>
      <c r="M452" s="177"/>
      <c r="O452" s="178"/>
      <c r="P452" s="177"/>
      <c r="R452" s="178"/>
      <c r="S452" s="177"/>
      <c r="U452" s="141"/>
      <c r="V452" s="142"/>
      <c r="X452" s="141"/>
      <c r="Y452" s="142"/>
    </row>
    <row r="453" spans="3:25" x14ac:dyDescent="0.3">
      <c r="C453" s="178"/>
      <c r="D453" s="177"/>
      <c r="F453" s="178"/>
      <c r="G453" s="177"/>
      <c r="I453" s="178"/>
      <c r="J453" s="177"/>
      <c r="L453" s="178"/>
      <c r="M453" s="177"/>
      <c r="O453" s="178"/>
      <c r="P453" s="177"/>
      <c r="R453" s="178"/>
      <c r="S453" s="177"/>
      <c r="U453" s="141"/>
      <c r="V453" s="142"/>
      <c r="X453" s="141"/>
      <c r="Y453" s="142"/>
    </row>
    <row r="454" spans="3:25" x14ac:dyDescent="0.3">
      <c r="C454" s="178"/>
      <c r="D454" s="177"/>
      <c r="F454" s="178"/>
      <c r="G454" s="177"/>
      <c r="I454" s="178"/>
      <c r="J454" s="177"/>
      <c r="L454" s="178"/>
      <c r="M454" s="177"/>
      <c r="O454" s="178"/>
      <c r="P454" s="177"/>
      <c r="R454" s="178"/>
      <c r="S454" s="177"/>
      <c r="U454" s="141"/>
      <c r="V454" s="142"/>
      <c r="X454" s="141"/>
      <c r="Y454" s="142"/>
    </row>
    <row r="455" spans="3:25" x14ac:dyDescent="0.3">
      <c r="C455" s="178"/>
      <c r="D455" s="177"/>
      <c r="F455" s="178"/>
      <c r="G455" s="177"/>
      <c r="I455" s="178"/>
      <c r="J455" s="177"/>
      <c r="L455" s="178"/>
      <c r="M455" s="177"/>
      <c r="O455" s="178"/>
      <c r="P455" s="177"/>
      <c r="R455" s="178"/>
      <c r="S455" s="177"/>
      <c r="U455" s="141"/>
      <c r="V455" s="142"/>
      <c r="X455" s="141"/>
      <c r="Y455" s="142"/>
    </row>
    <row r="456" spans="3:25" x14ac:dyDescent="0.3">
      <c r="C456" s="178"/>
      <c r="D456" s="177"/>
      <c r="F456" s="178"/>
      <c r="G456" s="177"/>
      <c r="I456" s="178"/>
      <c r="J456" s="177"/>
      <c r="L456" s="178"/>
      <c r="M456" s="177"/>
      <c r="O456" s="178"/>
      <c r="P456" s="177"/>
      <c r="R456" s="178"/>
      <c r="S456" s="177"/>
      <c r="U456" s="141"/>
      <c r="V456" s="142"/>
      <c r="X456" s="141"/>
      <c r="Y456" s="142"/>
    </row>
    <row r="457" spans="3:25" x14ac:dyDescent="0.3">
      <c r="C457" s="178"/>
      <c r="D457" s="177"/>
      <c r="F457" s="178"/>
      <c r="G457" s="177"/>
      <c r="I457" s="178"/>
      <c r="J457" s="177"/>
      <c r="L457" s="178"/>
      <c r="M457" s="177"/>
      <c r="O457" s="178"/>
      <c r="P457" s="177"/>
      <c r="R457" s="178"/>
      <c r="S457" s="177"/>
      <c r="U457" s="141"/>
      <c r="V457" s="142"/>
      <c r="X457" s="141"/>
      <c r="Y457" s="142"/>
    </row>
    <row r="458" spans="3:25" x14ac:dyDescent="0.3">
      <c r="C458" s="178"/>
      <c r="D458" s="177"/>
      <c r="F458" s="178"/>
      <c r="G458" s="177"/>
      <c r="I458" s="178"/>
      <c r="J458" s="177"/>
      <c r="L458" s="178"/>
      <c r="M458" s="177"/>
      <c r="O458" s="178"/>
      <c r="P458" s="177"/>
      <c r="R458" s="178"/>
      <c r="S458" s="177"/>
      <c r="U458" s="141"/>
      <c r="V458" s="142"/>
      <c r="X458" s="141"/>
      <c r="Y458" s="142"/>
    </row>
    <row r="459" spans="3:25" x14ac:dyDescent="0.3">
      <c r="C459" s="178"/>
      <c r="D459" s="177"/>
      <c r="F459" s="178"/>
      <c r="G459" s="177"/>
      <c r="I459" s="178"/>
      <c r="J459" s="177"/>
      <c r="L459" s="178"/>
      <c r="M459" s="177"/>
      <c r="O459" s="178"/>
      <c r="P459" s="177"/>
      <c r="R459" s="178"/>
      <c r="S459" s="177"/>
      <c r="U459" s="141"/>
      <c r="V459" s="142"/>
      <c r="X459" s="141"/>
      <c r="Y459" s="142"/>
    </row>
    <row r="460" spans="3:25" x14ac:dyDescent="0.3">
      <c r="C460" s="178"/>
      <c r="D460" s="177"/>
      <c r="F460" s="178"/>
      <c r="G460" s="177"/>
      <c r="I460" s="178"/>
      <c r="J460" s="177"/>
      <c r="L460" s="178"/>
      <c r="M460" s="177"/>
      <c r="O460" s="178"/>
      <c r="P460" s="177"/>
      <c r="R460" s="178"/>
      <c r="S460" s="177"/>
      <c r="U460" s="141"/>
      <c r="V460" s="142"/>
      <c r="X460" s="141"/>
      <c r="Y460" s="142"/>
    </row>
    <row r="461" spans="3:25" x14ac:dyDescent="0.3">
      <c r="C461" s="178"/>
      <c r="D461" s="177"/>
      <c r="F461" s="178"/>
      <c r="G461" s="177"/>
      <c r="I461" s="178"/>
      <c r="J461" s="177"/>
      <c r="L461" s="178"/>
      <c r="M461" s="177"/>
      <c r="O461" s="178"/>
      <c r="P461" s="177"/>
      <c r="R461" s="178"/>
      <c r="S461" s="177"/>
      <c r="U461" s="141"/>
      <c r="V461" s="142"/>
      <c r="X461" s="141"/>
      <c r="Y461" s="142"/>
    </row>
    <row r="462" spans="3:25" x14ac:dyDescent="0.3">
      <c r="C462" s="178"/>
      <c r="D462" s="177"/>
      <c r="F462" s="178"/>
      <c r="G462" s="177"/>
      <c r="I462" s="178"/>
      <c r="J462" s="177"/>
      <c r="L462" s="178"/>
      <c r="M462" s="177"/>
      <c r="O462" s="178"/>
      <c r="P462" s="177"/>
      <c r="R462" s="178"/>
      <c r="S462" s="177"/>
      <c r="U462" s="141"/>
      <c r="V462" s="142"/>
      <c r="X462" s="141"/>
      <c r="Y462" s="142"/>
    </row>
    <row r="463" spans="3:25" x14ac:dyDescent="0.3">
      <c r="C463" s="178"/>
      <c r="D463" s="177"/>
      <c r="F463" s="178"/>
      <c r="G463" s="177"/>
      <c r="I463" s="178"/>
      <c r="J463" s="177"/>
      <c r="L463" s="178"/>
      <c r="M463" s="177"/>
      <c r="O463" s="178"/>
      <c r="P463" s="177"/>
      <c r="R463" s="178"/>
      <c r="S463" s="177"/>
      <c r="U463" s="141"/>
      <c r="V463" s="142"/>
      <c r="X463" s="141"/>
      <c r="Y463" s="142"/>
    </row>
    <row r="464" spans="3:25" x14ac:dyDescent="0.3">
      <c r="C464" s="178"/>
      <c r="D464" s="177"/>
      <c r="F464" s="178"/>
      <c r="G464" s="177"/>
      <c r="I464" s="178"/>
      <c r="J464" s="177"/>
      <c r="L464" s="178"/>
      <c r="M464" s="177"/>
      <c r="O464" s="178"/>
      <c r="P464" s="177"/>
      <c r="R464" s="178"/>
      <c r="S464" s="177"/>
      <c r="U464" s="141"/>
      <c r="V464" s="142"/>
      <c r="X464" s="141"/>
      <c r="Y464" s="142"/>
    </row>
    <row r="465" spans="3:25" x14ac:dyDescent="0.3">
      <c r="C465" s="178"/>
      <c r="D465" s="177"/>
      <c r="F465" s="178"/>
      <c r="G465" s="177"/>
      <c r="I465" s="178"/>
      <c r="J465" s="177"/>
      <c r="L465" s="178"/>
      <c r="M465" s="177"/>
      <c r="O465" s="178"/>
      <c r="P465" s="177"/>
      <c r="R465" s="178"/>
      <c r="S465" s="177"/>
      <c r="U465" s="141"/>
      <c r="V465" s="142"/>
      <c r="X465" s="141"/>
      <c r="Y465" s="142"/>
    </row>
    <row r="466" spans="3:25" x14ac:dyDescent="0.3">
      <c r="C466" s="178"/>
      <c r="D466" s="177"/>
      <c r="F466" s="178"/>
      <c r="G466" s="177"/>
      <c r="I466" s="178"/>
      <c r="J466" s="177"/>
      <c r="L466" s="178"/>
      <c r="M466" s="177"/>
      <c r="O466" s="178"/>
      <c r="P466" s="177"/>
      <c r="R466" s="178"/>
      <c r="S466" s="177"/>
      <c r="U466" s="141"/>
      <c r="V466" s="142"/>
      <c r="X466" s="141"/>
      <c r="Y466" s="142"/>
    </row>
    <row r="467" spans="3:25" x14ac:dyDescent="0.3">
      <c r="C467" s="178"/>
      <c r="D467" s="177"/>
      <c r="F467" s="178"/>
      <c r="G467" s="177"/>
      <c r="I467" s="178"/>
      <c r="J467" s="177"/>
      <c r="L467" s="178"/>
      <c r="M467" s="177"/>
      <c r="O467" s="178"/>
      <c r="P467" s="177"/>
      <c r="R467" s="178"/>
      <c r="S467" s="177"/>
      <c r="U467" s="141"/>
      <c r="V467" s="142"/>
      <c r="X467" s="141"/>
      <c r="Y467" s="142"/>
    </row>
    <row r="468" spans="3:25" x14ac:dyDescent="0.3">
      <c r="C468" s="178"/>
      <c r="D468" s="177"/>
      <c r="F468" s="178"/>
      <c r="G468" s="177"/>
      <c r="I468" s="178"/>
      <c r="J468" s="177"/>
      <c r="L468" s="178"/>
      <c r="M468" s="177"/>
      <c r="O468" s="178"/>
      <c r="P468" s="177"/>
      <c r="R468" s="178"/>
      <c r="S468" s="177"/>
      <c r="U468" s="141"/>
      <c r="V468" s="142"/>
      <c r="X468" s="141"/>
      <c r="Y468" s="142"/>
    </row>
    <row r="469" spans="3:25" x14ac:dyDescent="0.3">
      <c r="C469" s="178"/>
      <c r="D469" s="177"/>
      <c r="F469" s="178"/>
      <c r="G469" s="177"/>
      <c r="I469" s="178"/>
      <c r="J469" s="177"/>
      <c r="L469" s="178"/>
      <c r="M469" s="177"/>
      <c r="O469" s="178"/>
      <c r="P469" s="177"/>
      <c r="R469" s="178"/>
      <c r="S469" s="177"/>
      <c r="U469" s="141"/>
      <c r="V469" s="142"/>
      <c r="X469" s="141"/>
      <c r="Y469" s="142"/>
    </row>
    <row r="470" spans="3:25" x14ac:dyDescent="0.3">
      <c r="C470" s="178"/>
      <c r="D470" s="177"/>
      <c r="F470" s="178"/>
      <c r="G470" s="177"/>
      <c r="I470" s="178"/>
      <c r="J470" s="177"/>
      <c r="L470" s="178"/>
      <c r="M470" s="177"/>
      <c r="O470" s="178"/>
      <c r="P470" s="177"/>
      <c r="R470" s="178"/>
      <c r="S470" s="177"/>
      <c r="U470" s="141"/>
      <c r="V470" s="142"/>
      <c r="X470" s="141"/>
      <c r="Y470" s="142"/>
    </row>
    <row r="471" spans="3:25" x14ac:dyDescent="0.3">
      <c r="C471" s="178"/>
      <c r="D471" s="177"/>
      <c r="F471" s="178"/>
      <c r="G471" s="177"/>
      <c r="I471" s="178"/>
      <c r="J471" s="177"/>
      <c r="L471" s="178"/>
      <c r="M471" s="177"/>
      <c r="O471" s="178"/>
      <c r="P471" s="177"/>
      <c r="R471" s="178"/>
      <c r="S471" s="177"/>
      <c r="U471" s="141"/>
      <c r="V471" s="142"/>
      <c r="X471" s="141"/>
      <c r="Y471" s="142"/>
    </row>
    <row r="472" spans="3:25" x14ac:dyDescent="0.3">
      <c r="C472" s="178"/>
      <c r="D472" s="177"/>
      <c r="F472" s="178"/>
      <c r="G472" s="177"/>
      <c r="I472" s="178"/>
      <c r="J472" s="177"/>
      <c r="L472" s="178"/>
      <c r="M472" s="177"/>
      <c r="O472" s="178"/>
      <c r="P472" s="177"/>
      <c r="R472" s="178"/>
      <c r="S472" s="177"/>
      <c r="U472" s="141"/>
      <c r="V472" s="142"/>
      <c r="X472" s="141"/>
      <c r="Y472" s="142"/>
    </row>
    <row r="473" spans="3:25" x14ac:dyDescent="0.3">
      <c r="C473" s="178"/>
      <c r="D473" s="177"/>
      <c r="F473" s="178"/>
      <c r="G473" s="177"/>
      <c r="I473" s="178"/>
      <c r="J473" s="177"/>
      <c r="L473" s="178"/>
      <c r="M473" s="177"/>
      <c r="O473" s="178"/>
      <c r="P473" s="177"/>
      <c r="R473" s="178"/>
      <c r="S473" s="177"/>
      <c r="U473" s="141"/>
      <c r="V473" s="142"/>
      <c r="X473" s="141"/>
      <c r="Y473" s="142"/>
    </row>
    <row r="474" spans="3:25" x14ac:dyDescent="0.3">
      <c r="C474" s="178"/>
      <c r="D474" s="177"/>
      <c r="F474" s="178"/>
      <c r="G474" s="177"/>
      <c r="I474" s="178"/>
      <c r="J474" s="177"/>
      <c r="L474" s="178"/>
      <c r="M474" s="177"/>
      <c r="O474" s="178"/>
      <c r="P474" s="177"/>
      <c r="R474" s="178"/>
      <c r="S474" s="177"/>
      <c r="U474" s="141"/>
      <c r="V474" s="142"/>
      <c r="X474" s="141"/>
      <c r="Y474" s="142"/>
    </row>
    <row r="475" spans="3:25" x14ac:dyDescent="0.3">
      <c r="C475" s="178"/>
      <c r="D475" s="177"/>
      <c r="F475" s="178"/>
      <c r="G475" s="177"/>
      <c r="I475" s="178"/>
      <c r="J475" s="177"/>
      <c r="L475" s="178"/>
      <c r="M475" s="177"/>
      <c r="O475" s="178"/>
      <c r="P475" s="177"/>
      <c r="R475" s="178"/>
      <c r="S475" s="177"/>
      <c r="U475" s="141"/>
      <c r="V475" s="142"/>
      <c r="X475" s="141"/>
      <c r="Y475" s="142"/>
    </row>
    <row r="476" spans="3:25" x14ac:dyDescent="0.3">
      <c r="C476" s="178"/>
      <c r="D476" s="177"/>
      <c r="F476" s="178"/>
      <c r="G476" s="177"/>
      <c r="I476" s="178"/>
      <c r="J476" s="177"/>
      <c r="L476" s="178"/>
      <c r="M476" s="177"/>
      <c r="O476" s="178"/>
      <c r="P476" s="177"/>
      <c r="R476" s="178"/>
      <c r="S476" s="177"/>
      <c r="U476" s="141"/>
      <c r="V476" s="142"/>
      <c r="X476" s="141"/>
      <c r="Y476" s="142"/>
    </row>
    <row r="477" spans="3:25" x14ac:dyDescent="0.3">
      <c r="C477" s="178"/>
      <c r="D477" s="177"/>
      <c r="F477" s="178"/>
      <c r="G477" s="177"/>
      <c r="I477" s="178"/>
      <c r="J477" s="177"/>
      <c r="L477" s="178"/>
      <c r="M477" s="177"/>
      <c r="O477" s="178"/>
      <c r="P477" s="177"/>
      <c r="R477" s="178"/>
      <c r="S477" s="177"/>
      <c r="U477" s="141"/>
      <c r="V477" s="142"/>
      <c r="X477" s="141"/>
      <c r="Y477" s="142"/>
    </row>
    <row r="478" spans="3:25" x14ac:dyDescent="0.3">
      <c r="C478" s="178"/>
      <c r="D478" s="177"/>
      <c r="F478" s="178"/>
      <c r="G478" s="177"/>
      <c r="I478" s="178"/>
      <c r="J478" s="177"/>
      <c r="L478" s="178"/>
      <c r="M478" s="177"/>
      <c r="O478" s="178"/>
      <c r="P478" s="177"/>
      <c r="R478" s="178"/>
      <c r="S478" s="177"/>
      <c r="U478" s="141"/>
      <c r="V478" s="142"/>
      <c r="X478" s="141"/>
      <c r="Y478" s="142"/>
    </row>
    <row r="479" spans="3:25" x14ac:dyDescent="0.3">
      <c r="C479" s="178"/>
      <c r="D479" s="177"/>
      <c r="F479" s="178"/>
      <c r="G479" s="177"/>
      <c r="I479" s="178"/>
      <c r="J479" s="177"/>
      <c r="L479" s="178"/>
      <c r="M479" s="177"/>
      <c r="O479" s="178"/>
      <c r="P479" s="177"/>
      <c r="R479" s="178"/>
      <c r="S479" s="177"/>
      <c r="U479" s="141"/>
      <c r="V479" s="142"/>
      <c r="X479" s="141"/>
      <c r="Y479" s="142"/>
    </row>
    <row r="480" spans="3:25" x14ac:dyDescent="0.3">
      <c r="C480" s="178"/>
      <c r="D480" s="177"/>
      <c r="F480" s="178"/>
      <c r="G480" s="177"/>
      <c r="I480" s="178"/>
      <c r="J480" s="177"/>
      <c r="L480" s="178"/>
      <c r="M480" s="177"/>
      <c r="O480" s="178"/>
      <c r="P480" s="177"/>
      <c r="R480" s="178"/>
      <c r="S480" s="177"/>
      <c r="U480" s="141"/>
      <c r="V480" s="142"/>
      <c r="X480" s="141"/>
      <c r="Y480" s="142"/>
    </row>
    <row r="481" spans="3:25" x14ac:dyDescent="0.3">
      <c r="C481" s="178"/>
      <c r="D481" s="177"/>
      <c r="F481" s="178"/>
      <c r="G481" s="177"/>
      <c r="I481" s="178"/>
      <c r="J481" s="177"/>
      <c r="L481" s="178"/>
      <c r="M481" s="177"/>
      <c r="O481" s="178"/>
      <c r="P481" s="177"/>
      <c r="R481" s="178"/>
      <c r="S481" s="177"/>
      <c r="U481" s="141"/>
      <c r="V481" s="142"/>
      <c r="X481" s="141"/>
      <c r="Y481" s="142"/>
    </row>
    <row r="482" spans="3:25" x14ac:dyDescent="0.3">
      <c r="C482" s="178"/>
      <c r="D482" s="177"/>
      <c r="F482" s="178"/>
      <c r="G482" s="177"/>
      <c r="I482" s="178"/>
      <c r="J482" s="177"/>
      <c r="L482" s="178"/>
      <c r="M482" s="177"/>
      <c r="O482" s="178"/>
      <c r="P482" s="177"/>
      <c r="R482" s="178"/>
      <c r="S482" s="177"/>
      <c r="U482" s="141"/>
      <c r="V482" s="142"/>
      <c r="X482" s="141"/>
      <c r="Y482" s="142"/>
    </row>
    <row r="483" spans="3:25" x14ac:dyDescent="0.3">
      <c r="C483" s="178"/>
      <c r="D483" s="177"/>
      <c r="F483" s="178"/>
      <c r="G483" s="177"/>
      <c r="I483" s="178"/>
      <c r="J483" s="177"/>
      <c r="L483" s="178"/>
      <c r="M483" s="177"/>
      <c r="O483" s="178"/>
      <c r="P483" s="177"/>
      <c r="R483" s="178"/>
      <c r="S483" s="177"/>
      <c r="U483" s="141"/>
      <c r="V483" s="142"/>
      <c r="X483" s="141"/>
      <c r="Y483" s="142"/>
    </row>
    <row r="484" spans="3:25" x14ac:dyDescent="0.3">
      <c r="C484" s="178"/>
      <c r="D484" s="177"/>
      <c r="F484" s="178"/>
      <c r="G484" s="177"/>
      <c r="I484" s="178"/>
      <c r="J484" s="177"/>
      <c r="L484" s="178"/>
      <c r="M484" s="177"/>
      <c r="O484" s="178"/>
      <c r="P484" s="177"/>
      <c r="R484" s="178"/>
      <c r="S484" s="177"/>
      <c r="U484" s="141"/>
      <c r="V484" s="142"/>
      <c r="X484" s="141"/>
      <c r="Y484" s="142"/>
    </row>
    <row r="485" spans="3:25" x14ac:dyDescent="0.3">
      <c r="C485" s="178"/>
      <c r="D485" s="177"/>
      <c r="F485" s="178"/>
      <c r="G485" s="177"/>
      <c r="I485" s="178"/>
      <c r="J485" s="177"/>
      <c r="L485" s="178"/>
      <c r="M485" s="177"/>
      <c r="O485" s="178"/>
      <c r="P485" s="177"/>
      <c r="R485" s="178"/>
      <c r="S485" s="177"/>
      <c r="U485" s="141"/>
      <c r="V485" s="142"/>
      <c r="X485" s="141"/>
      <c r="Y485" s="142"/>
    </row>
    <row r="486" spans="3:25" x14ac:dyDescent="0.3">
      <c r="C486" s="178"/>
      <c r="D486" s="177"/>
      <c r="F486" s="178"/>
      <c r="G486" s="177"/>
      <c r="I486" s="178"/>
      <c r="J486" s="177"/>
      <c r="L486" s="178"/>
      <c r="M486" s="177"/>
      <c r="O486" s="178"/>
      <c r="P486" s="177"/>
      <c r="R486" s="178"/>
      <c r="S486" s="177"/>
      <c r="U486" s="141"/>
      <c r="V486" s="142"/>
      <c r="X486" s="141"/>
      <c r="Y486" s="142"/>
    </row>
    <row r="487" spans="3:25" x14ac:dyDescent="0.3">
      <c r="C487" s="178"/>
      <c r="D487" s="177"/>
      <c r="F487" s="178"/>
      <c r="G487" s="177"/>
      <c r="I487" s="178"/>
      <c r="J487" s="177"/>
      <c r="L487" s="178"/>
      <c r="M487" s="177"/>
      <c r="O487" s="178"/>
      <c r="P487" s="177"/>
      <c r="R487" s="178"/>
      <c r="S487" s="177"/>
      <c r="U487" s="141"/>
      <c r="V487" s="142"/>
      <c r="X487" s="141"/>
      <c r="Y487" s="142"/>
    </row>
    <row r="488" spans="3:25" x14ac:dyDescent="0.3">
      <c r="C488" s="178"/>
      <c r="D488" s="177"/>
      <c r="F488" s="178"/>
      <c r="G488" s="177"/>
      <c r="I488" s="178"/>
      <c r="J488" s="177"/>
      <c r="L488" s="178"/>
      <c r="M488" s="177"/>
      <c r="O488" s="178"/>
      <c r="P488" s="177"/>
      <c r="R488" s="178"/>
      <c r="S488" s="177"/>
      <c r="U488" s="141"/>
      <c r="V488" s="142"/>
      <c r="X488" s="141"/>
      <c r="Y488" s="142"/>
    </row>
    <row r="489" spans="3:25" x14ac:dyDescent="0.3">
      <c r="C489" s="178"/>
      <c r="D489" s="177"/>
      <c r="F489" s="178"/>
      <c r="G489" s="177"/>
      <c r="I489" s="178"/>
      <c r="J489" s="177"/>
      <c r="L489" s="178"/>
      <c r="M489" s="177"/>
      <c r="O489" s="178"/>
      <c r="P489" s="177"/>
      <c r="R489" s="178"/>
      <c r="S489" s="177"/>
      <c r="U489" s="141"/>
      <c r="V489" s="142"/>
      <c r="X489" s="141"/>
      <c r="Y489" s="142"/>
    </row>
    <row r="490" spans="3:25" x14ac:dyDescent="0.3">
      <c r="C490" s="178"/>
      <c r="D490" s="177"/>
      <c r="F490" s="178"/>
      <c r="G490" s="177"/>
      <c r="I490" s="178"/>
      <c r="J490" s="177"/>
      <c r="L490" s="178"/>
      <c r="M490" s="177"/>
      <c r="O490" s="178"/>
      <c r="P490" s="177"/>
      <c r="R490" s="178"/>
      <c r="S490" s="177"/>
      <c r="U490" s="141"/>
      <c r="V490" s="142"/>
      <c r="X490" s="141"/>
      <c r="Y490" s="142"/>
    </row>
    <row r="491" spans="3:25" x14ac:dyDescent="0.3">
      <c r="C491" s="178"/>
      <c r="D491" s="177"/>
      <c r="F491" s="178"/>
      <c r="G491" s="177"/>
      <c r="I491" s="178"/>
      <c r="J491" s="177"/>
      <c r="L491" s="178"/>
      <c r="M491" s="177"/>
      <c r="O491" s="178"/>
      <c r="P491" s="177"/>
      <c r="R491" s="178"/>
      <c r="S491" s="177"/>
      <c r="U491" s="141"/>
      <c r="V491" s="142"/>
      <c r="X491" s="141"/>
      <c r="Y491" s="142"/>
    </row>
    <row r="492" spans="3:25" x14ac:dyDescent="0.3">
      <c r="C492" s="178"/>
      <c r="D492" s="177"/>
      <c r="F492" s="178"/>
      <c r="G492" s="177"/>
      <c r="I492" s="178"/>
      <c r="J492" s="177"/>
      <c r="L492" s="178"/>
      <c r="M492" s="177"/>
      <c r="O492" s="178"/>
      <c r="P492" s="177"/>
      <c r="R492" s="178"/>
      <c r="S492" s="177"/>
      <c r="U492" s="141"/>
      <c r="V492" s="142"/>
      <c r="X492" s="141"/>
      <c r="Y492" s="142"/>
    </row>
    <row r="493" spans="3:25" x14ac:dyDescent="0.3">
      <c r="C493" s="178"/>
      <c r="D493" s="177"/>
      <c r="F493" s="178"/>
      <c r="G493" s="177"/>
      <c r="I493" s="178"/>
      <c r="J493" s="177"/>
      <c r="L493" s="178"/>
      <c r="M493" s="177"/>
      <c r="O493" s="178"/>
      <c r="P493" s="177"/>
      <c r="R493" s="178"/>
      <c r="S493" s="177"/>
      <c r="U493" s="141"/>
      <c r="V493" s="142"/>
      <c r="X493" s="141"/>
      <c r="Y493" s="142"/>
    </row>
    <row r="494" spans="3:25" x14ac:dyDescent="0.3">
      <c r="C494" s="178"/>
      <c r="D494" s="177"/>
      <c r="F494" s="178"/>
      <c r="G494" s="177"/>
      <c r="I494" s="178"/>
      <c r="J494" s="177"/>
      <c r="L494" s="178"/>
      <c r="M494" s="177"/>
      <c r="O494" s="178"/>
      <c r="P494" s="177"/>
      <c r="R494" s="178"/>
      <c r="S494" s="177"/>
      <c r="U494" s="141"/>
      <c r="V494" s="142"/>
      <c r="X494" s="141"/>
      <c r="Y494" s="142"/>
    </row>
    <row r="495" spans="3:25" x14ac:dyDescent="0.3">
      <c r="C495" s="178"/>
      <c r="D495" s="177"/>
      <c r="F495" s="178"/>
      <c r="G495" s="177"/>
      <c r="I495" s="178"/>
      <c r="J495" s="177"/>
      <c r="L495" s="178"/>
      <c r="M495" s="177"/>
      <c r="O495" s="178"/>
      <c r="P495" s="177"/>
      <c r="R495" s="178"/>
      <c r="S495" s="177"/>
      <c r="U495" s="141"/>
      <c r="V495" s="142"/>
      <c r="X495" s="141"/>
      <c r="Y495" s="142"/>
    </row>
    <row r="496" spans="3:25" x14ac:dyDescent="0.3">
      <c r="C496" s="178"/>
      <c r="D496" s="177"/>
      <c r="F496" s="178"/>
      <c r="G496" s="177"/>
      <c r="I496" s="178"/>
      <c r="J496" s="177"/>
      <c r="L496" s="178"/>
      <c r="M496" s="177"/>
      <c r="O496" s="178"/>
      <c r="P496" s="177"/>
      <c r="R496" s="178"/>
      <c r="S496" s="177"/>
      <c r="U496" s="141"/>
      <c r="V496" s="142"/>
      <c r="X496" s="141"/>
      <c r="Y496" s="142"/>
    </row>
    <row r="497" spans="3:25" x14ac:dyDescent="0.3">
      <c r="C497" s="178"/>
      <c r="D497" s="177"/>
      <c r="F497" s="178"/>
      <c r="G497" s="177"/>
      <c r="I497" s="178"/>
      <c r="J497" s="177"/>
      <c r="L497" s="178"/>
      <c r="M497" s="177"/>
      <c r="O497" s="178"/>
      <c r="P497" s="177"/>
      <c r="R497" s="178"/>
      <c r="S497" s="177"/>
      <c r="U497" s="141"/>
      <c r="V497" s="142"/>
      <c r="X497" s="141"/>
      <c r="Y497" s="142"/>
    </row>
    <row r="498" spans="3:25" x14ac:dyDescent="0.3">
      <c r="C498" s="178"/>
      <c r="D498" s="177"/>
      <c r="F498" s="178"/>
      <c r="G498" s="177"/>
      <c r="I498" s="178"/>
      <c r="J498" s="177"/>
      <c r="L498" s="178"/>
      <c r="M498" s="177"/>
      <c r="O498" s="178"/>
      <c r="P498" s="177"/>
      <c r="R498" s="178"/>
      <c r="S498" s="177"/>
      <c r="U498" s="141"/>
      <c r="V498" s="142"/>
      <c r="X498" s="141"/>
      <c r="Y498" s="142"/>
    </row>
    <row r="499" spans="3:25" x14ac:dyDescent="0.3">
      <c r="C499" s="178"/>
      <c r="D499" s="177"/>
      <c r="F499" s="178"/>
      <c r="G499" s="177"/>
      <c r="I499" s="178"/>
      <c r="J499" s="177"/>
      <c r="L499" s="178"/>
      <c r="M499" s="177"/>
      <c r="O499" s="178"/>
      <c r="P499" s="177"/>
      <c r="R499" s="178"/>
      <c r="S499" s="177"/>
      <c r="U499" s="141"/>
      <c r="V499" s="142"/>
      <c r="X499" s="141"/>
      <c r="Y499" s="142"/>
    </row>
    <row r="500" spans="3:25" x14ac:dyDescent="0.3">
      <c r="C500" s="178"/>
      <c r="D500" s="177"/>
      <c r="F500" s="178"/>
      <c r="G500" s="177"/>
      <c r="I500" s="178"/>
      <c r="J500" s="177"/>
      <c r="L500" s="178"/>
      <c r="M500" s="177"/>
      <c r="O500" s="178"/>
      <c r="P500" s="177"/>
      <c r="R500" s="178"/>
      <c r="S500" s="177"/>
      <c r="U500" s="141"/>
      <c r="V500" s="142"/>
      <c r="X500" s="141"/>
      <c r="Y500" s="142"/>
    </row>
    <row r="501" spans="3:25" x14ac:dyDescent="0.3">
      <c r="C501" s="178"/>
      <c r="D501" s="177"/>
      <c r="F501" s="178"/>
      <c r="G501" s="177"/>
      <c r="I501" s="178"/>
      <c r="J501" s="177"/>
      <c r="L501" s="178"/>
      <c r="M501" s="177"/>
      <c r="O501" s="178"/>
      <c r="P501" s="177"/>
      <c r="R501" s="178"/>
      <c r="S501" s="177"/>
      <c r="U501" s="141"/>
      <c r="V501" s="142"/>
      <c r="X501" s="141"/>
      <c r="Y501" s="142"/>
    </row>
    <row r="502" spans="3:25" x14ac:dyDescent="0.3">
      <c r="C502" s="178"/>
      <c r="D502" s="177"/>
      <c r="F502" s="178"/>
      <c r="G502" s="177"/>
      <c r="I502" s="178"/>
      <c r="J502" s="177"/>
      <c r="L502" s="178"/>
      <c r="M502" s="177"/>
      <c r="O502" s="178"/>
      <c r="P502" s="177"/>
      <c r="R502" s="178"/>
      <c r="S502" s="177"/>
      <c r="U502" s="141"/>
      <c r="V502" s="142"/>
      <c r="X502" s="141"/>
      <c r="Y502" s="142"/>
    </row>
    <row r="503" spans="3:25" x14ac:dyDescent="0.3">
      <c r="C503" s="178"/>
      <c r="D503" s="177"/>
      <c r="F503" s="178"/>
      <c r="G503" s="177"/>
      <c r="I503" s="178"/>
      <c r="J503" s="177"/>
      <c r="L503" s="178"/>
      <c r="M503" s="177"/>
      <c r="O503" s="178"/>
      <c r="P503" s="177"/>
      <c r="R503" s="178"/>
      <c r="S503" s="177"/>
      <c r="U503" s="141"/>
      <c r="V503" s="142"/>
      <c r="X503" s="141"/>
      <c r="Y503" s="142"/>
    </row>
    <row r="504" spans="3:25" x14ac:dyDescent="0.3">
      <c r="C504" s="178"/>
      <c r="D504" s="177"/>
      <c r="F504" s="178"/>
      <c r="G504" s="177"/>
      <c r="I504" s="178"/>
      <c r="J504" s="177"/>
      <c r="L504" s="178"/>
      <c r="M504" s="177"/>
      <c r="O504" s="178"/>
      <c r="P504" s="177"/>
      <c r="R504" s="178"/>
      <c r="S504" s="177"/>
      <c r="U504" s="141"/>
      <c r="V504" s="142"/>
      <c r="X504" s="141"/>
      <c r="Y504" s="142"/>
    </row>
    <row r="505" spans="3:25" x14ac:dyDescent="0.3">
      <c r="C505" s="178"/>
      <c r="D505" s="177"/>
      <c r="F505" s="178"/>
      <c r="G505" s="177"/>
      <c r="I505" s="178"/>
      <c r="J505" s="177"/>
      <c r="L505" s="178"/>
      <c r="M505" s="177"/>
      <c r="O505" s="178"/>
      <c r="P505" s="177"/>
      <c r="R505" s="178"/>
      <c r="S505" s="177"/>
      <c r="U505" s="141"/>
      <c r="V505" s="142"/>
      <c r="X505" s="141"/>
      <c r="Y505" s="142"/>
    </row>
    <row r="506" spans="3:25" x14ac:dyDescent="0.3">
      <c r="C506" s="178"/>
      <c r="D506" s="177"/>
      <c r="F506" s="178"/>
      <c r="G506" s="177"/>
      <c r="I506" s="178"/>
      <c r="J506" s="177"/>
      <c r="L506" s="178"/>
      <c r="M506" s="177"/>
      <c r="O506" s="178"/>
      <c r="P506" s="177"/>
      <c r="R506" s="178"/>
      <c r="S506" s="177"/>
      <c r="U506" s="141"/>
      <c r="V506" s="142"/>
      <c r="X506" s="141"/>
      <c r="Y506" s="142"/>
    </row>
    <row r="507" spans="3:25" x14ac:dyDescent="0.3">
      <c r="C507" s="178"/>
      <c r="D507" s="177"/>
      <c r="F507" s="178"/>
      <c r="G507" s="177"/>
      <c r="I507" s="178"/>
      <c r="J507" s="177"/>
      <c r="L507" s="178"/>
      <c r="M507" s="177"/>
      <c r="O507" s="178"/>
      <c r="P507" s="177"/>
      <c r="R507" s="178"/>
      <c r="S507" s="177"/>
      <c r="U507" s="141"/>
      <c r="V507" s="142"/>
      <c r="X507" s="141"/>
      <c r="Y507" s="142"/>
    </row>
    <row r="508" spans="3:25" x14ac:dyDescent="0.3">
      <c r="C508" s="178"/>
      <c r="D508" s="177"/>
      <c r="F508" s="178"/>
      <c r="G508" s="177"/>
      <c r="I508" s="178"/>
      <c r="J508" s="177"/>
      <c r="L508" s="178"/>
      <c r="M508" s="177"/>
      <c r="O508" s="178"/>
      <c r="P508" s="177"/>
      <c r="R508" s="178"/>
      <c r="S508" s="177"/>
      <c r="U508" s="141"/>
      <c r="V508" s="142"/>
      <c r="X508" s="141"/>
      <c r="Y508" s="142"/>
    </row>
    <row r="509" spans="3:25" x14ac:dyDescent="0.3">
      <c r="C509" s="178"/>
      <c r="D509" s="177"/>
      <c r="F509" s="178"/>
      <c r="G509" s="177"/>
      <c r="I509" s="178"/>
      <c r="J509" s="177"/>
      <c r="L509" s="178"/>
      <c r="M509" s="177"/>
      <c r="O509" s="178"/>
      <c r="P509" s="177"/>
      <c r="R509" s="178"/>
      <c r="S509" s="177"/>
      <c r="U509" s="141"/>
      <c r="V509" s="142"/>
      <c r="X509" s="141"/>
      <c r="Y509" s="142"/>
    </row>
    <row r="510" spans="3:25" x14ac:dyDescent="0.3">
      <c r="C510" s="178"/>
      <c r="D510" s="177"/>
      <c r="F510" s="178"/>
      <c r="G510" s="177"/>
      <c r="I510" s="178"/>
      <c r="J510" s="177"/>
      <c r="L510" s="178"/>
      <c r="M510" s="177"/>
      <c r="O510" s="178"/>
      <c r="P510" s="177"/>
      <c r="R510" s="178"/>
      <c r="S510" s="177"/>
      <c r="U510" s="141"/>
      <c r="V510" s="142"/>
      <c r="X510" s="141"/>
      <c r="Y510" s="142"/>
    </row>
    <row r="511" spans="3:25" x14ac:dyDescent="0.3">
      <c r="C511" s="178"/>
      <c r="D511" s="177"/>
      <c r="F511" s="178"/>
      <c r="G511" s="177"/>
      <c r="I511" s="178"/>
      <c r="J511" s="177"/>
      <c r="L511" s="178"/>
      <c r="M511" s="177"/>
      <c r="O511" s="178"/>
      <c r="P511" s="177"/>
      <c r="R511" s="178"/>
      <c r="S511" s="177"/>
      <c r="U511" s="141"/>
      <c r="V511" s="142"/>
      <c r="X511" s="141"/>
      <c r="Y511" s="142"/>
    </row>
    <row r="512" spans="3:25" x14ac:dyDescent="0.3">
      <c r="C512" s="178"/>
      <c r="D512" s="177"/>
      <c r="F512" s="178"/>
      <c r="G512" s="177"/>
      <c r="I512" s="178"/>
      <c r="J512" s="177"/>
      <c r="L512" s="178"/>
      <c r="M512" s="177"/>
      <c r="O512" s="178"/>
      <c r="P512" s="177"/>
      <c r="R512" s="178"/>
      <c r="S512" s="177"/>
      <c r="U512" s="141"/>
      <c r="V512" s="142"/>
      <c r="X512" s="141"/>
      <c r="Y512" s="142"/>
    </row>
    <row r="513" spans="3:25" x14ac:dyDescent="0.3">
      <c r="C513" s="178"/>
      <c r="D513" s="177"/>
      <c r="F513" s="178"/>
      <c r="G513" s="177"/>
      <c r="I513" s="178"/>
      <c r="J513" s="177"/>
      <c r="L513" s="178"/>
      <c r="M513" s="177"/>
      <c r="O513" s="178"/>
      <c r="P513" s="177"/>
      <c r="R513" s="178"/>
      <c r="S513" s="177"/>
      <c r="U513" s="141"/>
      <c r="V513" s="142"/>
      <c r="X513" s="141"/>
      <c r="Y513" s="142"/>
    </row>
    <row r="514" spans="3:25" x14ac:dyDescent="0.3">
      <c r="C514" s="178"/>
      <c r="D514" s="177"/>
      <c r="F514" s="178"/>
      <c r="G514" s="177"/>
      <c r="I514" s="178"/>
      <c r="J514" s="177"/>
      <c r="L514" s="178"/>
      <c r="M514" s="177"/>
      <c r="O514" s="178"/>
      <c r="P514" s="177"/>
      <c r="R514" s="178"/>
      <c r="S514" s="177"/>
      <c r="U514" s="141"/>
      <c r="V514" s="142"/>
      <c r="X514" s="141"/>
      <c r="Y514" s="142"/>
    </row>
    <row r="515" spans="3:25" x14ac:dyDescent="0.3">
      <c r="C515" s="178"/>
      <c r="D515" s="177"/>
      <c r="F515" s="178"/>
      <c r="G515" s="177"/>
      <c r="I515" s="178"/>
      <c r="J515" s="177"/>
      <c r="L515" s="178"/>
      <c r="M515" s="177"/>
      <c r="O515" s="178"/>
      <c r="P515" s="177"/>
      <c r="R515" s="178"/>
      <c r="S515" s="177"/>
      <c r="U515" s="141"/>
      <c r="V515" s="142"/>
      <c r="X515" s="141"/>
      <c r="Y515" s="142"/>
    </row>
    <row r="516" spans="3:25" x14ac:dyDescent="0.3">
      <c r="C516" s="178"/>
      <c r="D516" s="177"/>
      <c r="F516" s="178"/>
      <c r="G516" s="177"/>
      <c r="I516" s="178"/>
      <c r="J516" s="177"/>
      <c r="L516" s="178"/>
      <c r="M516" s="177"/>
      <c r="O516" s="178"/>
      <c r="P516" s="177"/>
      <c r="R516" s="178"/>
      <c r="S516" s="177"/>
      <c r="U516" s="141"/>
      <c r="V516" s="142"/>
      <c r="X516" s="141"/>
      <c r="Y516" s="142"/>
    </row>
    <row r="517" spans="3:25" x14ac:dyDescent="0.3">
      <c r="C517" s="178"/>
      <c r="D517" s="177"/>
      <c r="F517" s="178"/>
      <c r="G517" s="177"/>
      <c r="I517" s="178"/>
      <c r="J517" s="177"/>
      <c r="L517" s="178"/>
      <c r="M517" s="177"/>
      <c r="O517" s="178"/>
      <c r="P517" s="177"/>
      <c r="R517" s="178"/>
      <c r="S517" s="177"/>
      <c r="U517" s="141"/>
      <c r="V517" s="142"/>
      <c r="X517" s="141"/>
      <c r="Y517" s="142"/>
    </row>
    <row r="518" spans="3:25" x14ac:dyDescent="0.3">
      <c r="C518" s="178"/>
      <c r="D518" s="177"/>
      <c r="F518" s="178"/>
      <c r="G518" s="177"/>
      <c r="I518" s="178"/>
      <c r="J518" s="177"/>
      <c r="L518" s="178"/>
      <c r="M518" s="177"/>
      <c r="O518" s="178"/>
      <c r="P518" s="177"/>
      <c r="R518" s="178"/>
      <c r="S518" s="177"/>
      <c r="U518" s="141"/>
      <c r="V518" s="142"/>
      <c r="X518" s="141"/>
      <c r="Y518" s="142"/>
    </row>
    <row r="519" spans="3:25" x14ac:dyDescent="0.3">
      <c r="C519" s="178"/>
      <c r="D519" s="177"/>
      <c r="F519" s="178"/>
      <c r="G519" s="177"/>
      <c r="I519" s="178"/>
      <c r="J519" s="177"/>
      <c r="L519" s="178"/>
      <c r="M519" s="177"/>
      <c r="O519" s="178"/>
      <c r="P519" s="177"/>
      <c r="R519" s="178"/>
      <c r="S519" s="177"/>
      <c r="U519" s="141"/>
      <c r="V519" s="142"/>
      <c r="X519" s="141"/>
      <c r="Y519" s="142"/>
    </row>
    <row r="520" spans="3:25" x14ac:dyDescent="0.3">
      <c r="C520" s="141"/>
      <c r="D520" s="142"/>
      <c r="F520" s="141"/>
      <c r="G520" s="142"/>
      <c r="I520" s="141"/>
      <c r="J520" s="142"/>
      <c r="L520" s="141"/>
      <c r="M520" s="142"/>
      <c r="O520" s="141"/>
      <c r="P520" s="142"/>
      <c r="R520" s="141"/>
      <c r="S520" s="142"/>
      <c r="U520" s="141"/>
      <c r="V520" s="142"/>
      <c r="X520" s="141"/>
      <c r="Y520" s="142"/>
    </row>
    <row r="521" spans="3:25" x14ac:dyDescent="0.3">
      <c r="C521" s="141"/>
      <c r="D521" s="142"/>
      <c r="F521" s="141"/>
      <c r="G521" s="142"/>
      <c r="I521" s="141"/>
      <c r="J521" s="142"/>
      <c r="L521" s="141"/>
      <c r="M521" s="142"/>
      <c r="O521" s="141"/>
      <c r="P521" s="142"/>
      <c r="R521" s="141"/>
      <c r="S521" s="142"/>
      <c r="U521" s="141"/>
      <c r="V521" s="142"/>
      <c r="X521" s="141"/>
      <c r="Y521" s="142"/>
    </row>
    <row r="522" spans="3:25" x14ac:dyDescent="0.3">
      <c r="C522" s="141"/>
      <c r="D522" s="142"/>
      <c r="F522" s="141"/>
      <c r="G522" s="142"/>
      <c r="I522" s="141"/>
      <c r="J522" s="142"/>
      <c r="L522" s="141"/>
      <c r="M522" s="142"/>
      <c r="O522" s="141"/>
      <c r="P522" s="142"/>
      <c r="R522" s="141"/>
      <c r="S522" s="142"/>
      <c r="U522" s="141"/>
      <c r="V522" s="142"/>
      <c r="X522" s="141"/>
      <c r="Y522" s="142"/>
    </row>
    <row r="523" spans="3:25" x14ac:dyDescent="0.3">
      <c r="C523" s="141"/>
      <c r="D523" s="142"/>
      <c r="F523" s="141"/>
      <c r="G523" s="142"/>
      <c r="I523" s="141"/>
      <c r="J523" s="142"/>
      <c r="L523" s="141"/>
      <c r="M523" s="142"/>
      <c r="O523" s="141"/>
      <c r="P523" s="142"/>
      <c r="R523" s="141"/>
      <c r="S523" s="142"/>
      <c r="U523" s="141"/>
      <c r="V523" s="142"/>
      <c r="X523" s="141"/>
      <c r="Y523" s="142"/>
    </row>
    <row r="524" spans="3:25" x14ac:dyDescent="0.3">
      <c r="C524" s="141"/>
      <c r="D524" s="142"/>
      <c r="F524" s="141"/>
      <c r="G524" s="142"/>
      <c r="I524" s="141"/>
      <c r="J524" s="142"/>
      <c r="L524" s="141"/>
      <c r="M524" s="142"/>
      <c r="O524" s="141"/>
      <c r="P524" s="142"/>
      <c r="R524" s="141"/>
      <c r="S524" s="142"/>
      <c r="U524" s="141"/>
      <c r="V524" s="142"/>
      <c r="X524" s="141"/>
      <c r="Y524" s="142"/>
    </row>
    <row r="525" spans="3:25" x14ac:dyDescent="0.3">
      <c r="C525" s="141"/>
      <c r="D525" s="142"/>
      <c r="F525" s="141"/>
      <c r="G525" s="142"/>
      <c r="I525" s="141"/>
      <c r="J525" s="142"/>
      <c r="L525" s="141"/>
      <c r="M525" s="142"/>
      <c r="O525" s="141"/>
      <c r="P525" s="142"/>
      <c r="R525" s="141"/>
      <c r="S525" s="142"/>
      <c r="U525" s="141"/>
      <c r="V525" s="142"/>
      <c r="X525" s="141"/>
      <c r="Y525" s="142"/>
    </row>
    <row r="526" spans="3:25" x14ac:dyDescent="0.3">
      <c r="C526" s="141"/>
      <c r="D526" s="142"/>
      <c r="F526" s="141"/>
      <c r="G526" s="142"/>
      <c r="I526" s="141"/>
      <c r="J526" s="142"/>
      <c r="L526" s="141"/>
      <c r="M526" s="142"/>
      <c r="O526" s="141"/>
      <c r="P526" s="142"/>
      <c r="R526" s="141"/>
      <c r="S526" s="142"/>
      <c r="U526" s="141"/>
      <c r="V526" s="142"/>
      <c r="X526" s="141"/>
      <c r="Y526" s="142"/>
    </row>
    <row r="527" spans="3:25" x14ac:dyDescent="0.3">
      <c r="C527" s="141"/>
      <c r="D527" s="142"/>
      <c r="F527" s="141"/>
      <c r="G527" s="142"/>
      <c r="I527" s="141"/>
      <c r="J527" s="142"/>
      <c r="L527" s="141"/>
      <c r="M527" s="142"/>
      <c r="O527" s="141"/>
      <c r="P527" s="142"/>
      <c r="R527" s="141"/>
      <c r="S527" s="142"/>
      <c r="U527" s="141"/>
      <c r="V527" s="142"/>
      <c r="X527" s="141"/>
      <c r="Y527" s="142"/>
    </row>
    <row r="528" spans="3:25" x14ac:dyDescent="0.3">
      <c r="C528" s="141"/>
      <c r="D528" s="142"/>
      <c r="F528" s="141"/>
      <c r="G528" s="142"/>
      <c r="I528" s="141"/>
      <c r="J528" s="142"/>
      <c r="L528" s="141"/>
      <c r="M528" s="142"/>
      <c r="O528" s="141"/>
      <c r="P528" s="142"/>
      <c r="R528" s="141"/>
      <c r="S528" s="142"/>
      <c r="U528" s="141"/>
      <c r="V528" s="142"/>
      <c r="X528" s="141"/>
      <c r="Y528" s="142"/>
    </row>
  </sheetData>
  <sheetProtection password="EADB" sheet="1" objects="1" scenarios="1" selectLockedCells="1"/>
  <mergeCells count="17">
    <mergeCell ref="X5:Y5"/>
    <mergeCell ref="X6:Y6"/>
    <mergeCell ref="L5:M5"/>
    <mergeCell ref="L6:M6"/>
    <mergeCell ref="O5:P5"/>
    <mergeCell ref="O6:P6"/>
    <mergeCell ref="R5:S5"/>
    <mergeCell ref="R6:S6"/>
    <mergeCell ref="D2:V3"/>
    <mergeCell ref="C6:D6"/>
    <mergeCell ref="C5:D5"/>
    <mergeCell ref="F5:G5"/>
    <mergeCell ref="F6:G6"/>
    <mergeCell ref="I5:J5"/>
    <mergeCell ref="I6:J6"/>
    <mergeCell ref="U5:V5"/>
    <mergeCell ref="U6:V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B130D"/>
  </sheetPr>
  <dimension ref="A1:BI357"/>
  <sheetViews>
    <sheetView showZeros="0" workbookViewId="0">
      <selection activeCell="L2" sqref="L2"/>
    </sheetView>
  </sheetViews>
  <sheetFormatPr defaultColWidth="8.88671875" defaultRowHeight="14.4" x14ac:dyDescent="0.3"/>
  <cols>
    <col min="1" max="1" width="15.6640625" style="214" customWidth="1"/>
    <col min="2" max="3" width="8.88671875" style="214"/>
    <col min="4" max="4" width="11.33203125" style="214" customWidth="1"/>
    <col min="5" max="7" width="8.88671875" style="214"/>
    <col min="8" max="8" width="11.44140625" style="214" customWidth="1"/>
    <col min="9" max="31" width="8.88671875" style="214"/>
    <col min="32" max="32" width="15.6640625" style="214" customWidth="1"/>
    <col min="33" max="16384" width="8.88671875" style="214"/>
  </cols>
  <sheetData>
    <row r="1" spans="1:57" s="221" customFormat="1" ht="17.7" customHeight="1" x14ac:dyDescent="0.3">
      <c r="A1" s="354" t="s">
        <v>1163</v>
      </c>
      <c r="B1" s="354"/>
      <c r="C1" s="354"/>
      <c r="D1" s="354"/>
      <c r="E1" s="354"/>
      <c r="F1" s="354"/>
      <c r="G1" s="356" t="s">
        <v>1166</v>
      </c>
      <c r="H1" s="356"/>
      <c r="I1" s="356"/>
      <c r="J1" s="356"/>
      <c r="K1" s="356"/>
      <c r="L1" s="356"/>
      <c r="M1" s="357" t="s">
        <v>1167</v>
      </c>
      <c r="N1" s="357"/>
      <c r="O1" s="357"/>
      <c r="P1" s="357"/>
      <c r="Q1" s="357"/>
      <c r="R1" s="357"/>
      <c r="S1" s="358" t="s">
        <v>1168</v>
      </c>
      <c r="T1" s="358"/>
      <c r="U1" s="358"/>
      <c r="V1" s="358"/>
      <c r="W1" s="358"/>
      <c r="X1" s="358"/>
    </row>
    <row r="2" spans="1:57" s="212" customFormat="1" ht="17.7" customHeight="1" x14ac:dyDescent="0.3">
      <c r="B2" s="212">
        <f>Summary!I24</f>
        <v>0</v>
      </c>
      <c r="H2" s="212">
        <f>Summary!O24</f>
        <v>0</v>
      </c>
      <c r="N2" s="212">
        <f>Summary!U23</f>
        <v>0</v>
      </c>
      <c r="T2" s="212">
        <f>Summary!AA24</f>
        <v>0</v>
      </c>
    </row>
    <row r="3" spans="1:57" s="212" customFormat="1" ht="17.7" customHeight="1" x14ac:dyDescent="0.3">
      <c r="B3" s="212">
        <f>Summary!I25</f>
        <v>0</v>
      </c>
      <c r="H3" s="212">
        <f>Summary!O25</f>
        <v>0</v>
      </c>
      <c r="N3" s="212">
        <f>Summary!U25</f>
        <v>0</v>
      </c>
      <c r="T3" s="212">
        <f>Summary!AA25</f>
        <v>0</v>
      </c>
    </row>
    <row r="4" spans="1:57" s="212" customFormat="1" ht="17.7" customHeight="1" x14ac:dyDescent="0.3">
      <c r="B4" s="212">
        <f>Summary!I26</f>
        <v>0</v>
      </c>
      <c r="H4" s="212">
        <f>Summary!O26</f>
        <v>0</v>
      </c>
      <c r="N4" s="212">
        <f>Summary!U26</f>
        <v>0</v>
      </c>
      <c r="T4" s="212">
        <f>Summary!AA26</f>
        <v>0</v>
      </c>
    </row>
    <row r="5" spans="1:57" s="212" customFormat="1" ht="17.7" customHeight="1" x14ac:dyDescent="0.3">
      <c r="B5" s="212">
        <f>Summary!I27</f>
        <v>0</v>
      </c>
      <c r="H5" s="212">
        <f>Summary!O27</f>
        <v>0</v>
      </c>
      <c r="N5" s="212">
        <f>Summary!U27</f>
        <v>0</v>
      </c>
      <c r="T5" s="212">
        <f>Summary!AA27</f>
        <v>0</v>
      </c>
    </row>
    <row r="6" spans="1:57" s="212" customFormat="1" ht="17.7" customHeight="1" x14ac:dyDescent="0.3">
      <c r="B6" s="212">
        <f>Summary!I28</f>
        <v>0</v>
      </c>
      <c r="H6" s="212">
        <f>Summary!O28</f>
        <v>0</v>
      </c>
      <c r="N6" s="212">
        <f>Summary!U28</f>
        <v>0</v>
      </c>
      <c r="T6" s="212">
        <f>Summary!AA28</f>
        <v>0</v>
      </c>
    </row>
    <row r="7" spans="1:57" s="212" customFormat="1" ht="17.7" customHeight="1" x14ac:dyDescent="0.3">
      <c r="B7" s="212">
        <f>Summary!I29</f>
        <v>0</v>
      </c>
      <c r="H7" s="212">
        <f>Summary!O29</f>
        <v>0</v>
      </c>
      <c r="N7" s="212">
        <f>Summary!U29</f>
        <v>0</v>
      </c>
      <c r="T7" s="212">
        <f>Summary!AA29</f>
        <v>0</v>
      </c>
    </row>
    <row r="8" spans="1:57" s="212" customFormat="1" ht="17.7" customHeight="1" x14ac:dyDescent="0.3">
      <c r="B8" s="212">
        <f>Summary!I30</f>
        <v>0</v>
      </c>
      <c r="H8" s="212">
        <f>Summary!O30</f>
        <v>0</v>
      </c>
      <c r="N8" s="212">
        <f>Summary!U30</f>
        <v>0</v>
      </c>
      <c r="T8" s="212">
        <f>Summary!AA30</f>
        <v>0</v>
      </c>
    </row>
    <row r="9" spans="1:57" s="212" customFormat="1" ht="17.7" customHeight="1" x14ac:dyDescent="0.3">
      <c r="B9" s="212">
        <f>Summary!I31</f>
        <v>0</v>
      </c>
      <c r="H9" s="212">
        <f>Summary!O31</f>
        <v>0</v>
      </c>
      <c r="N9" s="212">
        <f>Summary!U31</f>
        <v>0</v>
      </c>
      <c r="T9" s="212">
        <f>Summary!AA31</f>
        <v>0</v>
      </c>
    </row>
    <row r="10" spans="1:57" s="212" customFormat="1" ht="17.7" customHeight="1" x14ac:dyDescent="0.3">
      <c r="B10" s="212">
        <f>Summary!I32</f>
        <v>0</v>
      </c>
      <c r="H10" s="212">
        <f>Summary!O32</f>
        <v>0</v>
      </c>
      <c r="N10" s="212">
        <f>Summary!U32</f>
        <v>0</v>
      </c>
      <c r="T10" s="212">
        <f>Summary!AA32</f>
        <v>0</v>
      </c>
    </row>
    <row r="11" spans="1:57" s="212" customFormat="1" ht="17.7" customHeight="1" x14ac:dyDescent="0.3">
      <c r="B11" s="212">
        <f>Summary!I33</f>
        <v>0</v>
      </c>
      <c r="H11" s="212">
        <f>Summary!O33</f>
        <v>0</v>
      </c>
      <c r="N11" s="212">
        <f>Summary!U33</f>
        <v>0</v>
      </c>
      <c r="T11" s="212">
        <f>Summary!AA33</f>
        <v>0</v>
      </c>
    </row>
    <row r="12" spans="1:57" s="212" customFormat="1" ht="17.7" customHeight="1" x14ac:dyDescent="0.3">
      <c r="B12" s="212">
        <f>Summary!I34</f>
        <v>0</v>
      </c>
      <c r="H12" s="212">
        <f>Summary!O34</f>
        <v>0</v>
      </c>
      <c r="N12" s="212">
        <f>Summary!U34</f>
        <v>0</v>
      </c>
      <c r="T12" s="212">
        <f>Summary!AA34</f>
        <v>0</v>
      </c>
    </row>
    <row r="13" spans="1:57" s="212" customFormat="1" ht="17.7" customHeight="1" x14ac:dyDescent="0.3">
      <c r="B13" s="212">
        <f>Summary!I35</f>
        <v>0</v>
      </c>
      <c r="H13" s="212">
        <f>Summary!O35</f>
        <v>0</v>
      </c>
      <c r="N13" s="212">
        <f>Summary!U35</f>
        <v>0</v>
      </c>
      <c r="T13" s="212">
        <f>Summary!AA35</f>
        <v>0</v>
      </c>
    </row>
    <row r="14" spans="1:57" s="212" customFormat="1" ht="17.7" customHeight="1" x14ac:dyDescent="0.3">
      <c r="B14" s="212">
        <f>Summary!I36</f>
        <v>0</v>
      </c>
      <c r="C14" s="112"/>
      <c r="D14" s="112"/>
      <c r="H14" s="212">
        <f>Summary!O36</f>
        <v>0</v>
      </c>
      <c r="I14" s="112"/>
      <c r="J14" s="112"/>
      <c r="N14" s="212">
        <f>Summary!U36</f>
        <v>0</v>
      </c>
      <c r="O14" s="112"/>
      <c r="P14" s="112"/>
      <c r="T14" s="212">
        <f>Summary!AA36</f>
        <v>0</v>
      </c>
      <c r="U14" s="112"/>
      <c r="V14" s="112"/>
    </row>
    <row r="15" spans="1:57" s="212" customFormat="1" ht="17.7" customHeight="1" x14ac:dyDescent="0.3">
      <c r="B15" s="212">
        <f>Summary!I37</f>
        <v>0</v>
      </c>
      <c r="C15" s="112"/>
      <c r="D15" s="112"/>
      <c r="H15" s="212">
        <f>Summary!O37</f>
        <v>0</v>
      </c>
      <c r="I15" s="112"/>
      <c r="J15" s="112"/>
      <c r="N15" s="212">
        <f>Summary!U37</f>
        <v>0</v>
      </c>
      <c r="O15" s="112"/>
      <c r="P15" s="112"/>
      <c r="T15" s="212">
        <f>Summary!AA37</f>
        <v>0</v>
      </c>
      <c r="U15" s="112"/>
      <c r="V15" s="112"/>
    </row>
    <row r="16" spans="1:57" ht="17.7" customHeight="1" x14ac:dyDescent="0.3">
      <c r="A16" s="212"/>
      <c r="B16" s="212">
        <f>Summary!I38</f>
        <v>0</v>
      </c>
      <c r="C16" s="112"/>
      <c r="D16" s="112"/>
      <c r="E16" s="212"/>
      <c r="F16" s="212"/>
      <c r="G16" s="212"/>
      <c r="H16" s="212">
        <f>Summary!O38</f>
        <v>0</v>
      </c>
      <c r="I16" s="112"/>
      <c r="J16" s="112"/>
      <c r="K16" s="212"/>
      <c r="L16" s="212"/>
      <c r="M16" s="212"/>
      <c r="N16" s="212">
        <f>Summary!U38</f>
        <v>0</v>
      </c>
      <c r="O16" s="112"/>
      <c r="P16" s="112"/>
      <c r="Q16" s="212"/>
      <c r="R16" s="212"/>
      <c r="S16" s="212"/>
      <c r="T16" s="212">
        <f>Summary!AA38</f>
        <v>0</v>
      </c>
      <c r="U16" s="112"/>
      <c r="V16" s="112"/>
      <c r="W16" s="212"/>
      <c r="X16" s="212"/>
      <c r="Y16" s="212"/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</row>
    <row r="17" spans="1:61" ht="17.7" customHeight="1" x14ac:dyDescent="0.3">
      <c r="A17" s="212"/>
      <c r="B17" s="212">
        <f>Summary!I39</f>
        <v>0</v>
      </c>
      <c r="C17" s="112"/>
      <c r="D17" s="112"/>
      <c r="E17" s="212"/>
      <c r="F17" s="212"/>
      <c r="G17" s="212"/>
      <c r="H17" s="212">
        <f>Summary!O39</f>
        <v>0</v>
      </c>
      <c r="I17" s="112"/>
      <c r="J17" s="112"/>
      <c r="K17" s="212"/>
      <c r="L17" s="212"/>
      <c r="M17" s="212"/>
      <c r="N17" s="212">
        <f>Summary!U39</f>
        <v>0</v>
      </c>
      <c r="O17" s="112"/>
      <c r="P17" s="112"/>
      <c r="Q17" s="212"/>
      <c r="R17" s="212"/>
      <c r="S17" s="212"/>
      <c r="T17" s="212">
        <f>Summary!AA39</f>
        <v>0</v>
      </c>
      <c r="U17" s="112"/>
      <c r="V17" s="112"/>
      <c r="W17" s="212"/>
      <c r="X17" s="212"/>
      <c r="Y17" s="212"/>
      <c r="Z17" s="212"/>
      <c r="AA17" s="212"/>
      <c r="AB17" s="212"/>
      <c r="AC17" s="212"/>
      <c r="AD17" s="212"/>
      <c r="AE17" s="2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</row>
    <row r="18" spans="1:61" ht="17.7" customHeight="1" x14ac:dyDescent="0.3">
      <c r="A18" s="212"/>
      <c r="B18" s="212">
        <f>Summary!I40</f>
        <v>0</v>
      </c>
      <c r="C18" s="112"/>
      <c r="D18" s="112"/>
      <c r="E18" s="212"/>
      <c r="F18" s="355"/>
      <c r="G18" s="212"/>
      <c r="H18" s="212">
        <f>Summary!O40</f>
        <v>0</v>
      </c>
      <c r="I18" s="112"/>
      <c r="J18" s="112"/>
      <c r="K18" s="212"/>
      <c r="L18" s="355"/>
      <c r="M18" s="212"/>
      <c r="N18" s="212">
        <f>Summary!U40</f>
        <v>0</v>
      </c>
      <c r="O18" s="112"/>
      <c r="P18" s="112"/>
      <c r="Q18" s="212"/>
      <c r="R18" s="355"/>
      <c r="S18" s="212"/>
      <c r="T18" s="212">
        <f>Summary!AA40</f>
        <v>0</v>
      </c>
      <c r="U18" s="112"/>
      <c r="V18" s="112"/>
      <c r="W18" s="212"/>
      <c r="X18" s="355"/>
      <c r="Y18" s="212"/>
      <c r="Z18" s="212"/>
      <c r="AA18" s="212"/>
      <c r="AB18" s="212"/>
      <c r="AC18" s="212"/>
      <c r="AD18" s="212"/>
      <c r="AE18" s="2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</row>
    <row r="19" spans="1:61" ht="17.7" customHeight="1" x14ac:dyDescent="0.3">
      <c r="A19" s="212"/>
      <c r="B19" s="212">
        <f>Summary!I41</f>
        <v>0</v>
      </c>
      <c r="C19" s="112"/>
      <c r="D19" s="112"/>
      <c r="E19" s="212"/>
      <c r="F19" s="355"/>
      <c r="G19" s="212"/>
      <c r="H19" s="212">
        <f>Summary!O41</f>
        <v>0</v>
      </c>
      <c r="I19" s="112"/>
      <c r="J19" s="112"/>
      <c r="K19" s="212"/>
      <c r="L19" s="355"/>
      <c r="M19" s="212"/>
      <c r="N19" s="212">
        <f>Summary!U41</f>
        <v>0</v>
      </c>
      <c r="O19" s="112"/>
      <c r="P19" s="112"/>
      <c r="Q19" s="212"/>
      <c r="R19" s="355"/>
      <c r="S19" s="212"/>
      <c r="T19" s="212">
        <f>Summary!AA41</f>
        <v>0</v>
      </c>
      <c r="U19" s="112"/>
      <c r="V19" s="112"/>
      <c r="W19" s="212"/>
      <c r="X19" s="355"/>
      <c r="Y19" s="212"/>
      <c r="Z19" s="212"/>
      <c r="AA19" s="212"/>
      <c r="AB19" s="212"/>
      <c r="AC19" s="212"/>
      <c r="AD19" s="212"/>
      <c r="AE19" s="2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</row>
    <row r="20" spans="1:61" s="212" customFormat="1" ht="17.7" customHeight="1" x14ac:dyDescent="0.3">
      <c r="B20" s="212">
        <f>Summary!I42</f>
        <v>0</v>
      </c>
      <c r="H20" s="212">
        <f>Summary!O42</f>
        <v>0</v>
      </c>
      <c r="N20" s="212">
        <f>Summary!U42</f>
        <v>0</v>
      </c>
      <c r="T20" s="212">
        <f>Summary!AA42</f>
        <v>0</v>
      </c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</row>
    <row r="21" spans="1:61" s="212" customFormat="1" ht="17.7" customHeight="1" x14ac:dyDescent="0.3">
      <c r="B21" s="212">
        <f>Summary!I43</f>
        <v>0</v>
      </c>
      <c r="H21" s="212">
        <f>Summary!O43</f>
        <v>0</v>
      </c>
      <c r="N21" s="212">
        <f>Summary!U43</f>
        <v>0</v>
      </c>
      <c r="T21" s="212">
        <f>Summary!AA43</f>
        <v>0</v>
      </c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AZ21" s="112"/>
      <c r="BA21" s="112"/>
      <c r="BB21" s="112"/>
      <c r="BC21" s="112"/>
      <c r="BD21" s="112"/>
      <c r="BE21" s="112"/>
      <c r="BF21" s="112"/>
      <c r="BG21" s="112"/>
      <c r="BH21" s="112"/>
      <c r="BI21" s="112"/>
    </row>
    <row r="22" spans="1:61" s="212" customFormat="1" ht="17.7" customHeight="1" x14ac:dyDescent="0.3">
      <c r="B22" s="212">
        <f>Summary!I44</f>
        <v>0</v>
      </c>
      <c r="H22" s="212">
        <f>Summary!O44</f>
        <v>0</v>
      </c>
      <c r="N22" s="212">
        <f>Summary!U44</f>
        <v>0</v>
      </c>
      <c r="T22" s="212">
        <f>Summary!AA44</f>
        <v>0</v>
      </c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AZ22" s="112"/>
      <c r="BA22" s="112"/>
      <c r="BB22" s="112"/>
      <c r="BC22" s="112"/>
      <c r="BD22" s="112"/>
      <c r="BE22" s="112"/>
      <c r="BF22" s="112"/>
      <c r="BG22" s="112"/>
      <c r="BH22" s="112"/>
      <c r="BI22" s="112"/>
    </row>
    <row r="23" spans="1:61" s="222" customFormat="1" x14ac:dyDescent="0.3">
      <c r="A23" s="222" t="s">
        <v>455</v>
      </c>
      <c r="B23" s="222" t="s">
        <v>456</v>
      </c>
      <c r="C23" s="222" t="s">
        <v>457</v>
      </c>
      <c r="D23" s="222" t="s">
        <v>12</v>
      </c>
      <c r="E23" s="222" t="s">
        <v>11</v>
      </c>
      <c r="F23" s="222" t="s">
        <v>10</v>
      </c>
      <c r="G23" s="222" t="s">
        <v>192</v>
      </c>
      <c r="H23" s="222" t="s">
        <v>9</v>
      </c>
      <c r="I23" s="222" t="s">
        <v>15</v>
      </c>
      <c r="J23" s="222" t="s">
        <v>14</v>
      </c>
      <c r="K23" s="222" t="s">
        <v>13</v>
      </c>
      <c r="L23" s="222" t="s">
        <v>16</v>
      </c>
      <c r="M23" s="222" t="s">
        <v>458</v>
      </c>
      <c r="N23" s="222" t="s">
        <v>454</v>
      </c>
      <c r="O23" s="222" t="s">
        <v>459</v>
      </c>
      <c r="P23" s="222" t="s">
        <v>337</v>
      </c>
      <c r="Q23" s="222" t="s">
        <v>338</v>
      </c>
      <c r="R23" s="222" t="s">
        <v>460</v>
      </c>
      <c r="S23" s="222" t="s">
        <v>461</v>
      </c>
      <c r="T23" s="222" t="s">
        <v>462</v>
      </c>
      <c r="U23" s="222" t="s">
        <v>463</v>
      </c>
      <c r="V23" s="222" t="s">
        <v>464</v>
      </c>
      <c r="W23" s="222" t="s">
        <v>465</v>
      </c>
      <c r="X23" s="222" t="s">
        <v>466</v>
      </c>
      <c r="Y23" s="222" t="s">
        <v>467</v>
      </c>
      <c r="Z23" s="222" t="s">
        <v>468</v>
      </c>
      <c r="AA23" s="222" t="s">
        <v>469</v>
      </c>
      <c r="AB23" s="222" t="s">
        <v>17</v>
      </c>
      <c r="AC23" s="222" t="s">
        <v>18</v>
      </c>
      <c r="AD23" s="222" t="s">
        <v>19</v>
      </c>
      <c r="AF23" s="223"/>
      <c r="AG23" s="223"/>
      <c r="AH23" s="223"/>
      <c r="AI23" s="223"/>
      <c r="AJ23" s="223"/>
      <c r="AK23" s="223"/>
      <c r="AL23" s="223"/>
      <c r="AM23" s="223"/>
      <c r="AN23" s="223"/>
      <c r="AO23" s="223"/>
      <c r="AP23" s="223"/>
      <c r="AQ23" s="223"/>
      <c r="AR23" s="223"/>
      <c r="AS23" s="223"/>
      <c r="AT23" s="223"/>
      <c r="AU23" s="223"/>
      <c r="AV23" s="223"/>
      <c r="AW23" s="223"/>
      <c r="AX23" s="223"/>
      <c r="AY23" s="223"/>
      <c r="AZ23" s="223"/>
      <c r="BA23" s="223"/>
      <c r="BB23" s="223"/>
      <c r="BC23" s="223"/>
      <c r="BD23" s="223"/>
      <c r="BE23" s="223"/>
      <c r="BF23" s="223"/>
      <c r="BG23" s="223"/>
      <c r="BH23" s="223"/>
      <c r="BI23" s="223"/>
    </row>
    <row r="24" spans="1:61" s="212" customFormat="1" x14ac:dyDescent="0.3"/>
    <row r="25" spans="1:61" s="212" customFormat="1" x14ac:dyDescent="0.3">
      <c r="A25" s="354" t="s">
        <v>1165</v>
      </c>
      <c r="B25" s="354"/>
      <c r="C25" s="354"/>
      <c r="D25" s="354"/>
      <c r="E25" s="354"/>
      <c r="F25" s="354"/>
      <c r="G25" s="354"/>
      <c r="H25" s="354"/>
      <c r="I25" s="354"/>
      <c r="J25" s="354"/>
      <c r="K25" s="354"/>
      <c r="L25" s="354"/>
      <c r="M25" s="354"/>
      <c r="N25" s="354"/>
      <c r="O25" s="354"/>
      <c r="P25" s="354"/>
      <c r="Q25" s="354"/>
      <c r="R25" s="354"/>
      <c r="S25" s="354"/>
      <c r="T25" s="354"/>
      <c r="U25" s="354"/>
      <c r="V25" s="354"/>
      <c r="W25" s="354"/>
      <c r="X25" s="354"/>
      <c r="Y25" s="354"/>
      <c r="Z25" s="354"/>
      <c r="AA25" s="354"/>
      <c r="AB25" s="354"/>
      <c r="AC25" s="354"/>
      <c r="AD25" s="354"/>
    </row>
    <row r="26" spans="1:61" s="213" customFormat="1" x14ac:dyDescent="0.3">
      <c r="A26" s="213" t="str">
        <f>IFERROR(INDEX('DATA DUMP'!$A$2:$AD$723, MATCH($B$2,'DATA DUMP'!$A2:$A723, 0), COLUMN()),"")</f>
        <v/>
      </c>
      <c r="B26" s="213" t="str">
        <f>IFERROR(INDEX('DATA DUMP'!$A$2:$AD$723, MATCH($B$2,'DATA DUMP'!$A2:$A723, 0), COLUMN()),"")</f>
        <v/>
      </c>
      <c r="C26" s="213" t="str">
        <f>IFERROR(INDEX('DATA DUMP'!$A$2:$AD$723, MATCH($B$2,'DATA DUMP'!$A2:$A723, 0), COLUMN()),"")</f>
        <v/>
      </c>
      <c r="D26" s="213" t="str">
        <f>IFERROR(INDEX('DATA DUMP'!$A$2:$AD$723, MATCH($B$2,'DATA DUMP'!$A2:$A723, 0), COLUMN()),"")</f>
        <v/>
      </c>
      <c r="E26" s="213" t="str">
        <f>IFERROR(INDEX('DATA DUMP'!$A$2:$AD$723, MATCH($B$2,'DATA DUMP'!$A2:$A723, 0), COLUMN()),"")</f>
        <v/>
      </c>
      <c r="F26" s="213" t="str">
        <f>IFERROR(INDEX('DATA DUMP'!$A$2:$AD$723, MATCH($B$2,'DATA DUMP'!$A2:$A723, 0), COLUMN()),"")</f>
        <v/>
      </c>
      <c r="G26" s="213" t="str">
        <f>IFERROR(INDEX('DATA DUMP'!$A$2:$AD$723, MATCH($B$2,'DATA DUMP'!$A2:$A723, 0), COLUMN()),"")</f>
        <v/>
      </c>
      <c r="H26" s="213" t="str">
        <f>IFERROR(INDEX('DATA DUMP'!$A$2:$AD$723, MATCH($B$2,'DATA DUMP'!$A2:$A723, 0), COLUMN()),"")</f>
        <v/>
      </c>
      <c r="I26" s="213" t="str">
        <f>IFERROR(INDEX('DATA DUMP'!$A$2:$AD$723, MATCH($B$2,'DATA DUMP'!$A2:$A723, 0), COLUMN()),"")</f>
        <v/>
      </c>
      <c r="J26" s="213" t="str">
        <f>IFERROR(INDEX('DATA DUMP'!$A$2:$AD$723, MATCH($B$2,'DATA DUMP'!$A2:$A723, 0), COLUMN()),"")</f>
        <v/>
      </c>
      <c r="K26" s="213" t="str">
        <f>IFERROR(INDEX('DATA DUMP'!$A$2:$AD$723, MATCH($B$2,'DATA DUMP'!$A2:$A723, 0), COLUMN()),"")</f>
        <v/>
      </c>
      <c r="L26" s="213" t="str">
        <f>IFERROR(INDEX('DATA DUMP'!$A$2:$AD$723, MATCH($B$2,'DATA DUMP'!$A2:$A723, 0), COLUMN()),"")</f>
        <v/>
      </c>
      <c r="M26" s="213" t="str">
        <f>IFERROR(INDEX('DATA DUMP'!$A$2:$AD$723, MATCH($B$2,'DATA DUMP'!$A2:$A723, 0), COLUMN()),"")</f>
        <v/>
      </c>
      <c r="N26" s="213" t="str">
        <f>IFERROR(INDEX('DATA DUMP'!$A$2:$AD$723, MATCH($B$2,'DATA DUMP'!$A2:$A723, 0), COLUMN()),"")</f>
        <v/>
      </c>
      <c r="O26" s="213" t="str">
        <f>IFERROR(INDEX('DATA DUMP'!$A$2:$AD$723, MATCH($B$2,'DATA DUMP'!$A2:$A723, 0), COLUMN()),"")</f>
        <v/>
      </c>
      <c r="P26" s="213" t="str">
        <f>IFERROR(INDEX('DATA DUMP'!$A$2:$AD$723, MATCH($B$2,'DATA DUMP'!$A2:$A723, 0), COLUMN()),"")</f>
        <v/>
      </c>
      <c r="Q26" s="213" t="str">
        <f>IFERROR(INDEX('DATA DUMP'!$A$2:$AD$723, MATCH($B$2,'DATA DUMP'!$A2:$A723, 0), COLUMN()),"")</f>
        <v/>
      </c>
      <c r="R26" s="213" t="str">
        <f>IFERROR(INDEX('DATA DUMP'!$A$2:$AD$723, MATCH($B$2,'DATA DUMP'!$A2:$A723, 0), COLUMN()),"")</f>
        <v/>
      </c>
      <c r="S26" s="213" t="str">
        <f>IFERROR(INDEX('DATA DUMP'!$A$2:$AD$723, MATCH($B$2,'DATA DUMP'!$A2:$A723, 0), COLUMN()),"")</f>
        <v/>
      </c>
      <c r="T26" s="213" t="str">
        <f>IFERROR(INDEX('DATA DUMP'!$A$2:$AD$723, MATCH($B$2,'DATA DUMP'!$A2:$A723, 0), COLUMN()),"")</f>
        <v/>
      </c>
      <c r="U26" s="213" t="str">
        <f>IFERROR(INDEX('DATA DUMP'!$A$2:$AD$723, MATCH($B$2,'DATA DUMP'!$A2:$A723, 0), COLUMN()),"")</f>
        <v/>
      </c>
      <c r="V26" s="213" t="str">
        <f>IFERROR(INDEX('DATA DUMP'!$A$2:$AD$723, MATCH($B$2,'DATA DUMP'!$A2:$A723, 0), COLUMN()),"")</f>
        <v/>
      </c>
      <c r="W26" s="213" t="str">
        <f>IFERROR(INDEX('DATA DUMP'!$A$2:$AD$723, MATCH($B$2,'DATA DUMP'!$A2:$A723, 0), COLUMN()),"")</f>
        <v/>
      </c>
      <c r="X26" s="213" t="str">
        <f>IFERROR(INDEX('DATA DUMP'!$A$2:$AD$723, MATCH($B$2,'DATA DUMP'!$A2:$A723, 0), COLUMN()),"")</f>
        <v/>
      </c>
      <c r="Y26" s="213" t="str">
        <f>IFERROR(INDEX('DATA DUMP'!$A$2:$AD$723, MATCH($B$2,'DATA DUMP'!$A2:$A723, 0), COLUMN()),"")</f>
        <v/>
      </c>
      <c r="Z26" s="213" t="str">
        <f>IFERROR(INDEX('DATA DUMP'!$A$2:$AD$723, MATCH($B$2,'DATA DUMP'!$A2:$A723, 0), COLUMN()),"")</f>
        <v/>
      </c>
      <c r="AA26" s="213" t="str">
        <f>IFERROR(INDEX('DATA DUMP'!$A$2:$AD$723, MATCH($B$2,'DATA DUMP'!$A2:$A723, 0), COLUMN()),"")</f>
        <v/>
      </c>
      <c r="AB26" s="213" t="str">
        <f>IFERROR(INDEX('DATA DUMP'!$A$2:$AD$723, MATCH($B$2,'DATA DUMP'!$A2:$A723, 0), COLUMN()),"")</f>
        <v/>
      </c>
      <c r="AC26" s="213" t="str">
        <f>IFERROR(INDEX('DATA DUMP'!$A$2:$AD$723, MATCH($B$2,'DATA DUMP'!$A2:$A723, 0), COLUMN()),"")</f>
        <v/>
      </c>
      <c r="AD26" s="213" t="str">
        <f>IFERROR(INDEX('DATA DUMP'!$A$2:$AD$723, MATCH($B$2,'DATA DUMP'!$A2:$A723, 0), COLUMN()),"")</f>
        <v/>
      </c>
    </row>
    <row r="27" spans="1:61" s="212" customFormat="1" x14ac:dyDescent="0.3">
      <c r="A27" s="212" t="str">
        <f>IFERROR(INDEX('DATA DUMP'!$A$2:$AD$723, MATCH($B$3,'DATA DUMP'!$A2:$A723, 0), COLUMN()),"")</f>
        <v/>
      </c>
      <c r="B27" s="212" t="str">
        <f>IFERROR(INDEX('DATA DUMP'!$A$2:$AD$723, MATCH($B$3,'DATA DUMP'!$A2:$A723, 0), COLUMN()),"")</f>
        <v/>
      </c>
      <c r="C27" s="212" t="str">
        <f>IFERROR(INDEX('DATA DUMP'!$A$2:$AD$723, MATCH($B$3,'DATA DUMP'!$A2:$A723, 0), COLUMN()),"")</f>
        <v/>
      </c>
      <c r="D27" s="212" t="str">
        <f>IFERROR(INDEX('DATA DUMP'!$A$2:$AD$723, MATCH($B$3,'DATA DUMP'!$A2:$A723, 0), COLUMN()),"")</f>
        <v/>
      </c>
      <c r="E27" s="212" t="str">
        <f>IFERROR(INDEX('DATA DUMP'!$A$2:$AD$723, MATCH($B$3,'DATA DUMP'!$A2:$A723, 0), COLUMN()),"")</f>
        <v/>
      </c>
      <c r="F27" s="212" t="str">
        <f>IFERROR(INDEX('DATA DUMP'!$A$2:$AD$723, MATCH($B$3,'DATA DUMP'!$A2:$A723, 0), COLUMN()),"")</f>
        <v/>
      </c>
      <c r="G27" s="212" t="str">
        <f>IFERROR(INDEX('DATA DUMP'!$A$2:$AD$723, MATCH($B$3,'DATA DUMP'!$A2:$A723, 0), COLUMN()),"")</f>
        <v/>
      </c>
      <c r="H27" s="212" t="str">
        <f>IFERROR(INDEX('DATA DUMP'!$A$2:$AD$723, MATCH($B$3,'DATA DUMP'!$A2:$A723, 0), COLUMN()),"")</f>
        <v/>
      </c>
      <c r="I27" s="212" t="str">
        <f>IFERROR(INDEX('DATA DUMP'!$A$2:$AD$723, MATCH($B$3,'DATA DUMP'!$A2:$A723, 0), COLUMN()),"")</f>
        <v/>
      </c>
      <c r="J27" s="212" t="str">
        <f>IFERROR(INDEX('DATA DUMP'!$A$2:$AD$723, MATCH($B$3,'DATA DUMP'!$A2:$A723, 0), COLUMN()),"")</f>
        <v/>
      </c>
      <c r="K27" s="212" t="str">
        <f>IFERROR(INDEX('DATA DUMP'!$A$2:$AD$723, MATCH($B$3,'DATA DUMP'!$A2:$A723, 0), COLUMN()),"")</f>
        <v/>
      </c>
      <c r="L27" s="212" t="str">
        <f>IFERROR(INDEX('DATA DUMP'!$A$2:$AD$723, MATCH($B$3,'DATA DUMP'!$A2:$A723, 0), COLUMN()),"")</f>
        <v/>
      </c>
      <c r="M27" s="212" t="str">
        <f>IFERROR(INDEX('DATA DUMP'!$A$2:$AD$723, MATCH($B$3,'DATA DUMP'!$A2:$A723, 0), COLUMN()),"")</f>
        <v/>
      </c>
      <c r="N27" s="212" t="str">
        <f>IFERROR(INDEX('DATA DUMP'!$A$2:$AD$723, MATCH($B$3,'DATA DUMP'!$A2:$A723, 0), COLUMN()),"")</f>
        <v/>
      </c>
      <c r="O27" s="212" t="str">
        <f>IFERROR(INDEX('DATA DUMP'!$A$2:$AD$723, MATCH($B$3,'DATA DUMP'!$A2:$A723, 0), COLUMN()),"")</f>
        <v/>
      </c>
      <c r="P27" s="212" t="str">
        <f>IFERROR(INDEX('DATA DUMP'!$A$2:$AD$723, MATCH($B$3,'DATA DUMP'!$A2:$A723, 0), COLUMN()),"")</f>
        <v/>
      </c>
      <c r="Q27" s="212" t="str">
        <f>IFERROR(INDEX('DATA DUMP'!$A$2:$AD$723, MATCH($B$3,'DATA DUMP'!$A2:$A723, 0), COLUMN()),"")</f>
        <v/>
      </c>
      <c r="R27" s="212" t="str">
        <f>IFERROR(INDEX('DATA DUMP'!$A$2:$AD$723, MATCH($B$3,'DATA DUMP'!$A2:$A723, 0), COLUMN()),"")</f>
        <v/>
      </c>
      <c r="S27" s="212" t="str">
        <f>IFERROR(INDEX('DATA DUMP'!$A$2:$AD$723, MATCH($B$3,'DATA DUMP'!$A2:$A723, 0), COLUMN()),"")</f>
        <v/>
      </c>
      <c r="T27" s="212" t="str">
        <f>IFERROR(INDEX('DATA DUMP'!$A$2:$AD$723, MATCH($B$3,'DATA DUMP'!$A2:$A723, 0), COLUMN()),"")</f>
        <v/>
      </c>
      <c r="U27" s="212" t="str">
        <f>IFERROR(INDEX('DATA DUMP'!$A$2:$AD$723, MATCH($B$3,'DATA DUMP'!$A2:$A723, 0), COLUMN()),"")</f>
        <v/>
      </c>
      <c r="V27" s="212" t="str">
        <f>IFERROR(INDEX('DATA DUMP'!$A$2:$AD$723, MATCH($B$3,'DATA DUMP'!$A2:$A723, 0), COLUMN()),"")</f>
        <v/>
      </c>
      <c r="W27" s="212" t="str">
        <f>IFERROR(INDEX('DATA DUMP'!$A$2:$AD$723, MATCH($B$3,'DATA DUMP'!$A2:$A723, 0), COLUMN()),"")</f>
        <v/>
      </c>
      <c r="X27" s="212" t="str">
        <f>IFERROR(INDEX('DATA DUMP'!$A$2:$AD$723, MATCH($B$3,'DATA DUMP'!$A2:$A723, 0), COLUMN()),"")</f>
        <v/>
      </c>
      <c r="Y27" s="212" t="str">
        <f>IFERROR(INDEX('DATA DUMP'!$A$2:$AD$723, MATCH($B$3,'DATA DUMP'!$A2:$A723, 0), COLUMN()),"")</f>
        <v/>
      </c>
      <c r="Z27" s="212" t="str">
        <f>IFERROR(INDEX('DATA DUMP'!$A$2:$AD$723, MATCH($B$3,'DATA DUMP'!$A2:$A723, 0), COLUMN()),"")</f>
        <v/>
      </c>
      <c r="AA27" s="212" t="str">
        <f>IFERROR(INDEX('DATA DUMP'!$A$2:$AD$723, MATCH($B$3,'DATA DUMP'!$A2:$A723, 0), COLUMN()),"")</f>
        <v/>
      </c>
      <c r="AB27" s="212" t="str">
        <f>IFERROR(INDEX('DATA DUMP'!$A$2:$AD$723, MATCH($B$3,'DATA DUMP'!$A2:$A723, 0), COLUMN()),"")</f>
        <v/>
      </c>
      <c r="AC27" s="212" t="str">
        <f>IFERROR(INDEX('DATA DUMP'!$A$2:$AD$723, MATCH($B$3,'DATA DUMP'!$A2:$A723, 0), COLUMN()),"")</f>
        <v/>
      </c>
      <c r="AD27" s="212" t="str">
        <f>IFERROR(INDEX('DATA DUMP'!$A$2:$AD$723, MATCH($B$3,'DATA DUMP'!$A2:$A723, 0), COLUMN()),"")</f>
        <v/>
      </c>
    </row>
    <row r="28" spans="1:61" s="212" customFormat="1" x14ac:dyDescent="0.3">
      <c r="A28" s="212" t="str">
        <f>IFERROR(INDEX('DATA DUMP'!$A$2:$AD$723, MATCH($B$4,'DATA DUMP'!$A2:$A723, 0), COLUMN()),"")</f>
        <v/>
      </c>
      <c r="B28" s="212" t="str">
        <f>IFERROR(INDEX('DATA DUMP'!$A$2:$AD$723, MATCH($B$4,'DATA DUMP'!$A2:$A723, 0), COLUMN()),"")</f>
        <v/>
      </c>
      <c r="C28" s="212" t="str">
        <f>IFERROR(INDEX('DATA DUMP'!$A$2:$AD$723, MATCH($B$4,'DATA DUMP'!$A2:$A723, 0), COLUMN()),"")</f>
        <v/>
      </c>
      <c r="D28" s="212" t="str">
        <f>IFERROR(INDEX('DATA DUMP'!$A$2:$AD$723, MATCH($B$4,'DATA DUMP'!$A2:$A723, 0), COLUMN()),"")</f>
        <v/>
      </c>
      <c r="E28" s="212" t="str">
        <f>IFERROR(INDEX('DATA DUMP'!$A$2:$AD$723, MATCH($B$4,'DATA DUMP'!$A2:$A723, 0), COLUMN()),"")</f>
        <v/>
      </c>
      <c r="F28" s="212" t="str">
        <f>IFERROR(INDEX('DATA DUMP'!$A$2:$AD$723, MATCH($B$4,'DATA DUMP'!$A2:$A723, 0), COLUMN()),"")</f>
        <v/>
      </c>
      <c r="G28" s="212" t="str">
        <f>IFERROR(INDEX('DATA DUMP'!$A$2:$AD$723, MATCH($B$4,'DATA DUMP'!$A2:$A723, 0), COLUMN()),"")</f>
        <v/>
      </c>
      <c r="H28" s="212" t="str">
        <f>IFERROR(INDEX('DATA DUMP'!$A$2:$AD$723, MATCH($B$4,'DATA DUMP'!$A2:$A723, 0), COLUMN()),"")</f>
        <v/>
      </c>
      <c r="I28" s="212" t="str">
        <f>IFERROR(INDEX('DATA DUMP'!$A$2:$AD$723, MATCH($B$4,'DATA DUMP'!$A2:$A723, 0), COLUMN()),"")</f>
        <v/>
      </c>
      <c r="J28" s="212" t="str">
        <f>IFERROR(INDEX('DATA DUMP'!$A$2:$AD$723, MATCH($B$4,'DATA DUMP'!$A2:$A723, 0), COLUMN()),"")</f>
        <v/>
      </c>
      <c r="K28" s="212" t="str">
        <f>IFERROR(INDEX('DATA DUMP'!$A$2:$AD$723, MATCH($B$4,'DATA DUMP'!$A2:$A723, 0), COLUMN()),"")</f>
        <v/>
      </c>
      <c r="L28" s="212" t="str">
        <f>IFERROR(INDEX('DATA DUMP'!$A$2:$AD$723, MATCH($B$4,'DATA DUMP'!$A2:$A723, 0), COLUMN()),"")</f>
        <v/>
      </c>
      <c r="M28" s="212" t="str">
        <f>IFERROR(INDEX('DATA DUMP'!$A$2:$AD$723, MATCH($B$4,'DATA DUMP'!$A2:$A723, 0), COLUMN()),"")</f>
        <v/>
      </c>
      <c r="N28" s="212" t="str">
        <f>IFERROR(INDEX('DATA DUMP'!$A$2:$AD$723, MATCH($B$4,'DATA DUMP'!$A2:$A723, 0), COLUMN()),"")</f>
        <v/>
      </c>
      <c r="O28" s="212" t="str">
        <f>IFERROR(INDEX('DATA DUMP'!$A$2:$AD$723, MATCH($B$4,'DATA DUMP'!$A2:$A723, 0), COLUMN()),"")</f>
        <v/>
      </c>
      <c r="P28" s="212" t="str">
        <f>IFERROR(INDEX('DATA DUMP'!$A$2:$AD$723, MATCH($B$4,'DATA DUMP'!$A2:$A723, 0), COLUMN()),"")</f>
        <v/>
      </c>
      <c r="Q28" s="212" t="str">
        <f>IFERROR(INDEX('DATA DUMP'!$A$2:$AD$723, MATCH($B$4,'DATA DUMP'!$A2:$A723, 0), COLUMN()),"")</f>
        <v/>
      </c>
      <c r="R28" s="212" t="str">
        <f>IFERROR(INDEX('DATA DUMP'!$A$2:$AD$723, MATCH($B$4,'DATA DUMP'!$A2:$A723, 0), COLUMN()),"")</f>
        <v/>
      </c>
      <c r="S28" s="212" t="str">
        <f>IFERROR(INDEX('DATA DUMP'!$A$2:$AD$723, MATCH($B$4,'DATA DUMP'!$A2:$A723, 0), COLUMN()),"")</f>
        <v/>
      </c>
      <c r="T28" s="212" t="str">
        <f>IFERROR(INDEX('DATA DUMP'!$A$2:$AD$723, MATCH($B$4,'DATA DUMP'!$A2:$A723, 0), COLUMN()),"")</f>
        <v/>
      </c>
      <c r="U28" s="212" t="str">
        <f>IFERROR(INDEX('DATA DUMP'!$A$2:$AD$723, MATCH($B$4,'DATA DUMP'!$A2:$A723, 0), COLUMN()),"")</f>
        <v/>
      </c>
      <c r="V28" s="212" t="str">
        <f>IFERROR(INDEX('DATA DUMP'!$A$2:$AD$723, MATCH($B$4,'DATA DUMP'!$A2:$A723, 0), COLUMN()),"")</f>
        <v/>
      </c>
      <c r="W28" s="212" t="str">
        <f>IFERROR(INDEX('DATA DUMP'!$A$2:$AD$723, MATCH($B$4,'DATA DUMP'!$A2:$A723, 0), COLUMN()),"")</f>
        <v/>
      </c>
      <c r="X28" s="212" t="str">
        <f>IFERROR(INDEX('DATA DUMP'!$A$2:$AD$723, MATCH($B$4,'DATA DUMP'!$A2:$A723, 0), COLUMN()),"")</f>
        <v/>
      </c>
      <c r="Y28" s="212" t="str">
        <f>IFERROR(INDEX('DATA DUMP'!$A$2:$AD$723, MATCH($B$4,'DATA DUMP'!$A2:$A723, 0), COLUMN()),"")</f>
        <v/>
      </c>
      <c r="Z28" s="212" t="str">
        <f>IFERROR(INDEX('DATA DUMP'!$A$2:$AD$723, MATCH($B$4,'DATA DUMP'!$A2:$A723, 0), COLUMN()),"")</f>
        <v/>
      </c>
      <c r="AA28" s="212" t="str">
        <f>IFERROR(INDEX('DATA DUMP'!$A$2:$AD$723, MATCH($B$4,'DATA DUMP'!$A2:$A723, 0), COLUMN()),"")</f>
        <v/>
      </c>
      <c r="AB28" s="212" t="str">
        <f>IFERROR(INDEX('DATA DUMP'!$A$2:$AD$723, MATCH($B$4,'DATA DUMP'!$A2:$A723, 0), COLUMN()),"")</f>
        <v/>
      </c>
      <c r="AC28" s="212" t="str">
        <f>IFERROR(INDEX('DATA DUMP'!$A$2:$AD$723, MATCH($B$4,'DATA DUMP'!$A2:$A723, 0), COLUMN()),"")</f>
        <v/>
      </c>
      <c r="AD28" s="212" t="str">
        <f>IFERROR(INDEX('DATA DUMP'!$A$2:$AD$723, MATCH($B$4,'DATA DUMP'!$A2:$A723, 0), COLUMN()),"")</f>
        <v/>
      </c>
    </row>
    <row r="29" spans="1:61" s="212" customFormat="1" x14ac:dyDescent="0.3">
      <c r="A29" s="212" t="str">
        <f>IFERROR(INDEX('DATA DUMP'!$A$2:$AD$723, MATCH($B$5,'DATA DUMP'!$A2:$A723, 0), COLUMN()),"")</f>
        <v/>
      </c>
      <c r="B29" s="212" t="str">
        <f>IFERROR(INDEX('DATA DUMP'!$A$2:$AD$723, MATCH($B$5,'DATA DUMP'!$A2:$A723, 0), COLUMN()),"")</f>
        <v/>
      </c>
      <c r="C29" s="212" t="str">
        <f>IFERROR(INDEX('DATA DUMP'!$A$2:$AD$723, MATCH($B$5,'DATA DUMP'!$A2:$A723, 0), COLUMN()),"")</f>
        <v/>
      </c>
      <c r="D29" s="212" t="str">
        <f>IFERROR(INDEX('DATA DUMP'!$A$2:$AD$723, MATCH($B$5,'DATA DUMP'!$A2:$A723, 0), COLUMN()),"")</f>
        <v/>
      </c>
      <c r="E29" s="212" t="str">
        <f>IFERROR(INDEX('DATA DUMP'!$A$2:$AD$723, MATCH($B$5,'DATA DUMP'!$A2:$A723, 0), COLUMN()),"")</f>
        <v/>
      </c>
      <c r="F29" s="212" t="str">
        <f>IFERROR(INDEX('DATA DUMP'!$A$2:$AD$723, MATCH($B$5,'DATA DUMP'!$A2:$A723, 0), COLUMN()),"")</f>
        <v/>
      </c>
      <c r="G29" s="212" t="str">
        <f>IFERROR(INDEX('DATA DUMP'!$A$2:$AD$723, MATCH($B$5,'DATA DUMP'!$A2:$A723, 0), COLUMN()),"")</f>
        <v/>
      </c>
      <c r="H29" s="212" t="str">
        <f>IFERROR(INDEX('DATA DUMP'!$A$2:$AD$723, MATCH($B$5,'DATA DUMP'!$A2:$A723, 0), COLUMN()),"")</f>
        <v/>
      </c>
      <c r="I29" s="212" t="str">
        <f>IFERROR(INDEX('DATA DUMP'!$A$2:$AD$723, MATCH($B$5,'DATA DUMP'!$A2:$A723, 0), COLUMN()),"")</f>
        <v/>
      </c>
      <c r="J29" s="212" t="str">
        <f>IFERROR(INDEX('DATA DUMP'!$A$2:$AD$723, MATCH($B$5,'DATA DUMP'!$A2:$A723, 0), COLUMN()),"")</f>
        <v/>
      </c>
      <c r="K29" s="212" t="str">
        <f>IFERROR(INDEX('DATA DUMP'!$A$2:$AD$723, MATCH($B$5,'DATA DUMP'!$A2:$A723, 0), COLUMN()),"")</f>
        <v/>
      </c>
      <c r="L29" s="212" t="str">
        <f>IFERROR(INDEX('DATA DUMP'!$A$2:$AD$723, MATCH($B$5,'DATA DUMP'!$A2:$A723, 0), COLUMN()),"")</f>
        <v/>
      </c>
      <c r="M29" s="212" t="str">
        <f>IFERROR(INDEX('DATA DUMP'!$A$2:$AD$723, MATCH($B$5,'DATA DUMP'!$A2:$A723, 0), COLUMN()),"")</f>
        <v/>
      </c>
      <c r="N29" s="212" t="str">
        <f>IFERROR(INDEX('DATA DUMP'!$A$2:$AD$723, MATCH($B$5,'DATA DUMP'!$A2:$A723, 0), COLUMN()),"")</f>
        <v/>
      </c>
      <c r="O29" s="212" t="str">
        <f>IFERROR(INDEX('DATA DUMP'!$A$2:$AD$723, MATCH($B$5,'DATA DUMP'!$A2:$A723, 0), COLUMN()),"")</f>
        <v/>
      </c>
      <c r="P29" s="212" t="str">
        <f>IFERROR(INDEX('DATA DUMP'!$A$2:$AD$723, MATCH($B$5,'DATA DUMP'!$A2:$A723, 0), COLUMN()),"")</f>
        <v/>
      </c>
      <c r="Q29" s="212" t="str">
        <f>IFERROR(INDEX('DATA DUMP'!$A$2:$AD$723, MATCH($B$5,'DATA DUMP'!$A2:$A723, 0), COLUMN()),"")</f>
        <v/>
      </c>
      <c r="R29" s="212" t="str">
        <f>IFERROR(INDEX('DATA DUMP'!$A$2:$AD$723, MATCH($B$5,'DATA DUMP'!$A2:$A723, 0), COLUMN()),"")</f>
        <v/>
      </c>
      <c r="S29" s="212" t="str">
        <f>IFERROR(INDEX('DATA DUMP'!$A$2:$AD$723, MATCH($B$5,'DATA DUMP'!$A2:$A723, 0), COLUMN()),"")</f>
        <v/>
      </c>
      <c r="T29" s="212" t="str">
        <f>IFERROR(INDEX('DATA DUMP'!$A$2:$AD$723, MATCH($B$5,'DATA DUMP'!$A2:$A723, 0), COLUMN()),"")</f>
        <v/>
      </c>
      <c r="U29" s="212" t="str">
        <f>IFERROR(INDEX('DATA DUMP'!$A$2:$AD$723, MATCH($B$5,'DATA DUMP'!$A2:$A723, 0), COLUMN()),"")</f>
        <v/>
      </c>
      <c r="V29" s="212" t="str">
        <f>IFERROR(INDEX('DATA DUMP'!$A$2:$AD$723, MATCH($B$5,'DATA DUMP'!$A2:$A723, 0), COLUMN()),"")</f>
        <v/>
      </c>
      <c r="W29" s="212" t="str">
        <f>IFERROR(INDEX('DATA DUMP'!$A$2:$AD$723, MATCH($B$5,'DATA DUMP'!$A2:$A723, 0), COLUMN()),"")</f>
        <v/>
      </c>
      <c r="X29" s="212" t="str">
        <f>IFERROR(INDEX('DATA DUMP'!$A$2:$AD$723, MATCH($B$5,'DATA DUMP'!$A2:$A723, 0), COLUMN()),"")</f>
        <v/>
      </c>
      <c r="Y29" s="212" t="str">
        <f>IFERROR(INDEX('DATA DUMP'!$A$2:$AD$723, MATCH($B$5,'DATA DUMP'!$A2:$A723, 0), COLUMN()),"")</f>
        <v/>
      </c>
      <c r="Z29" s="212" t="str">
        <f>IFERROR(INDEX('DATA DUMP'!$A$2:$AD$723, MATCH($B$5,'DATA DUMP'!$A2:$A723, 0), COLUMN()),"")</f>
        <v/>
      </c>
      <c r="AA29" s="212" t="str">
        <f>IFERROR(INDEX('DATA DUMP'!$A$2:$AD$723, MATCH($B$5,'DATA DUMP'!$A2:$A723, 0), COLUMN()),"")</f>
        <v/>
      </c>
      <c r="AB29" s="212" t="str">
        <f>IFERROR(INDEX('DATA DUMP'!$A$2:$AD$723, MATCH($B$5,'DATA DUMP'!$A2:$A723, 0), COLUMN()),"")</f>
        <v/>
      </c>
      <c r="AC29" s="212" t="str">
        <f>IFERROR(INDEX('DATA DUMP'!$A$2:$AD$723, MATCH($B$5,'DATA DUMP'!$A2:$A723, 0), COLUMN()),"")</f>
        <v/>
      </c>
      <c r="AD29" s="212" t="str">
        <f>IFERROR(INDEX('DATA DUMP'!$A$2:$AD$723, MATCH($B$5,'DATA DUMP'!$A2:$A723, 0), COLUMN()),"")</f>
        <v/>
      </c>
    </row>
    <row r="30" spans="1:61" s="212" customFormat="1" x14ac:dyDescent="0.3">
      <c r="A30" s="212" t="str">
        <f>IFERROR(INDEX('DATA DUMP'!$A$2:$AD$723, MATCH($B$6,'DATA DUMP'!$A2:$A723, 0), COLUMN()),"")</f>
        <v/>
      </c>
      <c r="B30" s="212" t="str">
        <f>IFERROR(INDEX('DATA DUMP'!$A$2:$AD$723, MATCH($B$6,'DATA DUMP'!$A2:$A723, 0), COLUMN()),"")</f>
        <v/>
      </c>
      <c r="C30" s="212" t="str">
        <f>IFERROR(INDEX('DATA DUMP'!$A$2:$AD$723, MATCH($B$6,'DATA DUMP'!$A2:$A723, 0), COLUMN()),"")</f>
        <v/>
      </c>
      <c r="D30" s="212" t="str">
        <f>IFERROR(INDEX('DATA DUMP'!$A$2:$AD$723, MATCH($B$6,'DATA DUMP'!$A2:$A723, 0), COLUMN()),"")</f>
        <v/>
      </c>
      <c r="E30" s="212" t="str">
        <f>IFERROR(INDEX('DATA DUMP'!$A$2:$AD$723, MATCH($B$6,'DATA DUMP'!$A2:$A723, 0), COLUMN()),"")</f>
        <v/>
      </c>
      <c r="F30" s="212" t="str">
        <f>IFERROR(INDEX('DATA DUMP'!$A$2:$AD$723, MATCH($B$6,'DATA DUMP'!$A2:$A723, 0), COLUMN()),"")</f>
        <v/>
      </c>
      <c r="G30" s="212" t="str">
        <f>IFERROR(INDEX('DATA DUMP'!$A$2:$AD$723, MATCH($B$6,'DATA DUMP'!$A2:$A723, 0), COLUMN()),"")</f>
        <v/>
      </c>
      <c r="H30" s="212" t="str">
        <f>IFERROR(INDEX('DATA DUMP'!$A$2:$AD$723, MATCH($B$6,'DATA DUMP'!$A2:$A723, 0), COLUMN()),"")</f>
        <v/>
      </c>
      <c r="I30" s="212" t="str">
        <f>IFERROR(INDEX('DATA DUMP'!$A$2:$AD$723, MATCH($B$6,'DATA DUMP'!$A2:$A723, 0), COLUMN()),"")</f>
        <v/>
      </c>
      <c r="J30" s="212" t="str">
        <f>IFERROR(INDEX('DATA DUMP'!$A$2:$AD$723, MATCH($B$6,'DATA DUMP'!$A2:$A723, 0), COLUMN()),"")</f>
        <v/>
      </c>
      <c r="K30" s="212" t="str">
        <f>IFERROR(INDEX('DATA DUMP'!$A$2:$AD$723, MATCH($B$6,'DATA DUMP'!$A2:$A723, 0), COLUMN()),"")</f>
        <v/>
      </c>
      <c r="L30" s="212" t="str">
        <f>IFERROR(INDEX('DATA DUMP'!$A$2:$AD$723, MATCH($B$6,'DATA DUMP'!$A2:$A723, 0), COLUMN()),"")</f>
        <v/>
      </c>
      <c r="M30" s="212" t="str">
        <f>IFERROR(INDEX('DATA DUMP'!$A$2:$AD$723, MATCH($B$6,'DATA DUMP'!$A2:$A723, 0), COLUMN()),"")</f>
        <v/>
      </c>
      <c r="N30" s="212" t="str">
        <f>IFERROR(INDEX('DATA DUMP'!$A$2:$AD$723, MATCH($B$6,'DATA DUMP'!$A2:$A723, 0), COLUMN()),"")</f>
        <v/>
      </c>
      <c r="O30" s="212" t="str">
        <f>IFERROR(INDEX('DATA DUMP'!$A$2:$AD$723, MATCH($B$6,'DATA DUMP'!$A2:$A723, 0), COLUMN()),"")</f>
        <v/>
      </c>
      <c r="P30" s="212" t="str">
        <f>IFERROR(INDEX('DATA DUMP'!$A$2:$AD$723, MATCH($B$6,'DATA DUMP'!$A2:$A723, 0), COLUMN()),"")</f>
        <v/>
      </c>
      <c r="Q30" s="212" t="str">
        <f>IFERROR(INDEX('DATA DUMP'!$A$2:$AD$723, MATCH($B$6,'DATA DUMP'!$A2:$A723, 0), COLUMN()),"")</f>
        <v/>
      </c>
      <c r="R30" s="212" t="str">
        <f>IFERROR(INDEX('DATA DUMP'!$A$2:$AD$723, MATCH($B$6,'DATA DUMP'!$A2:$A723, 0), COLUMN()),"")</f>
        <v/>
      </c>
      <c r="S30" s="212" t="str">
        <f>IFERROR(INDEX('DATA DUMP'!$A$2:$AD$723, MATCH($B$6,'DATA DUMP'!$A2:$A723, 0), COLUMN()),"")</f>
        <v/>
      </c>
      <c r="T30" s="212" t="str">
        <f>IFERROR(INDEX('DATA DUMP'!$A$2:$AD$723, MATCH($B$6,'DATA DUMP'!$A2:$A723, 0), COLUMN()),"")</f>
        <v/>
      </c>
      <c r="U30" s="212" t="str">
        <f>IFERROR(INDEX('DATA DUMP'!$A$2:$AD$723, MATCH($B$6,'DATA DUMP'!$A2:$A723, 0), COLUMN()),"")</f>
        <v/>
      </c>
      <c r="V30" s="212" t="str">
        <f>IFERROR(INDEX('DATA DUMP'!$A$2:$AD$723, MATCH($B$6,'DATA DUMP'!$A2:$A723, 0), COLUMN()),"")</f>
        <v/>
      </c>
      <c r="W30" s="212" t="str">
        <f>IFERROR(INDEX('DATA DUMP'!$A$2:$AD$723, MATCH($B$6,'DATA DUMP'!$A2:$A723, 0), COLUMN()),"")</f>
        <v/>
      </c>
      <c r="X30" s="212" t="str">
        <f>IFERROR(INDEX('DATA DUMP'!$A$2:$AD$723, MATCH($B$6,'DATA DUMP'!$A2:$A723, 0), COLUMN()),"")</f>
        <v/>
      </c>
      <c r="Y30" s="212" t="str">
        <f>IFERROR(INDEX('DATA DUMP'!$A$2:$AD$723, MATCH($B$6,'DATA DUMP'!$A2:$A723, 0), COLUMN()),"")</f>
        <v/>
      </c>
      <c r="Z30" s="212" t="str">
        <f>IFERROR(INDEX('DATA DUMP'!$A$2:$AD$723, MATCH($B$6,'DATA DUMP'!$A2:$A723, 0), COLUMN()),"")</f>
        <v/>
      </c>
      <c r="AA30" s="212" t="str">
        <f>IFERROR(INDEX('DATA DUMP'!$A$2:$AD$723, MATCH($B$6,'DATA DUMP'!$A2:$A723, 0), COLUMN()),"")</f>
        <v/>
      </c>
      <c r="AB30" s="212" t="str">
        <f>IFERROR(INDEX('DATA DUMP'!$A$2:$AD$723, MATCH($B$6,'DATA DUMP'!$A2:$A723, 0), COLUMN()),"")</f>
        <v/>
      </c>
      <c r="AC30" s="212" t="str">
        <f>IFERROR(INDEX('DATA DUMP'!$A$2:$AD$723, MATCH($B$6,'DATA DUMP'!$A2:$A723, 0), COLUMN()),"")</f>
        <v/>
      </c>
      <c r="AD30" s="212" t="str">
        <f>IFERROR(INDEX('DATA DUMP'!$A$2:$AD$723, MATCH($B$6,'DATA DUMP'!$A2:$A723, 0), COLUMN()),"")</f>
        <v/>
      </c>
    </row>
    <row r="31" spans="1:61" s="212" customFormat="1" x14ac:dyDescent="0.3">
      <c r="A31" s="212" t="str">
        <f>IFERROR(INDEX('DATA DUMP'!$A$2:$AD$723, MATCH($B$7,'DATA DUMP'!$A2:$A723, 0), COLUMN()),"")</f>
        <v/>
      </c>
      <c r="B31" s="212" t="str">
        <f>IFERROR(INDEX('DATA DUMP'!$A$2:$AD$723, MATCH($B$7,'DATA DUMP'!$A2:$A723, 0), COLUMN()),"")</f>
        <v/>
      </c>
      <c r="C31" s="212" t="str">
        <f>IFERROR(INDEX('DATA DUMP'!$A$2:$AD$723, MATCH($B$7,'DATA DUMP'!$A2:$A723, 0), COLUMN()),"")</f>
        <v/>
      </c>
      <c r="D31" s="212" t="str">
        <f>IFERROR(INDEX('DATA DUMP'!$A$2:$AD$723, MATCH($B$7,'DATA DUMP'!$A2:$A723, 0), COLUMN()),"")</f>
        <v/>
      </c>
      <c r="E31" s="212" t="str">
        <f>IFERROR(INDEX('DATA DUMP'!$A$2:$AD$723, MATCH($B$7,'DATA DUMP'!$A2:$A723, 0), COLUMN()),"")</f>
        <v/>
      </c>
      <c r="F31" s="212" t="str">
        <f>IFERROR(INDEX('DATA DUMP'!$A$2:$AD$723, MATCH($B$7,'DATA DUMP'!$A2:$A723, 0), COLUMN()),"")</f>
        <v/>
      </c>
      <c r="G31" s="212" t="str">
        <f>IFERROR(INDEX('DATA DUMP'!$A$2:$AD$723, MATCH($B$7,'DATA DUMP'!$A2:$A723, 0), COLUMN()),"")</f>
        <v/>
      </c>
      <c r="H31" s="212" t="str">
        <f>IFERROR(INDEX('DATA DUMP'!$A$2:$AD$723, MATCH($B$7,'DATA DUMP'!$A2:$A723, 0), COLUMN()),"")</f>
        <v/>
      </c>
      <c r="I31" s="212" t="str">
        <f>IFERROR(INDEX('DATA DUMP'!$A$2:$AD$723, MATCH($B$7,'DATA DUMP'!$A2:$A723, 0), COLUMN()),"")</f>
        <v/>
      </c>
      <c r="J31" s="212" t="str">
        <f>IFERROR(INDEX('DATA DUMP'!$A$2:$AD$723, MATCH($B$7,'DATA DUMP'!$A2:$A723, 0), COLUMN()),"")</f>
        <v/>
      </c>
      <c r="K31" s="212" t="str">
        <f>IFERROR(INDEX('DATA DUMP'!$A$2:$AD$723, MATCH($B$7,'DATA DUMP'!$A2:$A723, 0), COLUMN()),"")</f>
        <v/>
      </c>
      <c r="L31" s="212" t="str">
        <f>IFERROR(INDEX('DATA DUMP'!$A$2:$AD$723, MATCH($B$7,'DATA DUMP'!$A2:$A723, 0), COLUMN()),"")</f>
        <v/>
      </c>
      <c r="M31" s="212" t="str">
        <f>IFERROR(INDEX('DATA DUMP'!$A$2:$AD$723, MATCH($B$7,'DATA DUMP'!$A2:$A723, 0), COLUMN()),"")</f>
        <v/>
      </c>
      <c r="N31" s="212" t="str">
        <f>IFERROR(INDEX('DATA DUMP'!$A$2:$AD$723, MATCH($B$7,'DATA DUMP'!$A2:$A723, 0), COLUMN()),"")</f>
        <v/>
      </c>
      <c r="O31" s="212" t="str">
        <f>IFERROR(INDEX('DATA DUMP'!$A$2:$AD$723, MATCH($B$7,'DATA DUMP'!$A2:$A723, 0), COLUMN()),"")</f>
        <v/>
      </c>
      <c r="P31" s="212" t="str">
        <f>IFERROR(INDEX('DATA DUMP'!$A$2:$AD$723, MATCH($B$7,'DATA DUMP'!$A2:$A723, 0), COLUMN()),"")</f>
        <v/>
      </c>
      <c r="Q31" s="212" t="str">
        <f>IFERROR(INDEX('DATA DUMP'!$A$2:$AD$723, MATCH($B$7,'DATA DUMP'!$A2:$A723, 0), COLUMN()),"")</f>
        <v/>
      </c>
      <c r="R31" s="212" t="str">
        <f>IFERROR(INDEX('DATA DUMP'!$A$2:$AD$723, MATCH($B$7,'DATA DUMP'!$A2:$A723, 0), COLUMN()),"")</f>
        <v/>
      </c>
      <c r="S31" s="212" t="str">
        <f>IFERROR(INDEX('DATA DUMP'!$A$2:$AD$723, MATCH($B$7,'DATA DUMP'!$A2:$A723, 0), COLUMN()),"")</f>
        <v/>
      </c>
      <c r="T31" s="212" t="str">
        <f>IFERROR(INDEX('DATA DUMP'!$A$2:$AD$723, MATCH($B$7,'DATA DUMP'!$A2:$A723, 0), COLUMN()),"")</f>
        <v/>
      </c>
      <c r="U31" s="212" t="str">
        <f>IFERROR(INDEX('DATA DUMP'!$A$2:$AD$723, MATCH($B$7,'DATA DUMP'!$A2:$A723, 0), COLUMN()),"")</f>
        <v/>
      </c>
      <c r="V31" s="212" t="str">
        <f>IFERROR(INDEX('DATA DUMP'!$A$2:$AD$723, MATCH($B$7,'DATA DUMP'!$A2:$A723, 0), COLUMN()),"")</f>
        <v/>
      </c>
      <c r="W31" s="212" t="str">
        <f>IFERROR(INDEX('DATA DUMP'!$A$2:$AD$723, MATCH($B$7,'DATA DUMP'!$A2:$A723, 0), COLUMN()),"")</f>
        <v/>
      </c>
      <c r="X31" s="212" t="str">
        <f>IFERROR(INDEX('DATA DUMP'!$A$2:$AD$723, MATCH($B$7,'DATA DUMP'!$A2:$A723, 0), COLUMN()),"")</f>
        <v/>
      </c>
      <c r="Y31" s="212" t="str">
        <f>IFERROR(INDEX('DATA DUMP'!$A$2:$AD$723, MATCH($B$7,'DATA DUMP'!$A2:$A723, 0), COLUMN()),"")</f>
        <v/>
      </c>
      <c r="Z31" s="212" t="str">
        <f>IFERROR(INDEX('DATA DUMP'!$A$2:$AD$723, MATCH($B$7,'DATA DUMP'!$A2:$A723, 0), COLUMN()),"")</f>
        <v/>
      </c>
      <c r="AA31" s="212" t="str">
        <f>IFERROR(INDEX('DATA DUMP'!$A$2:$AD$723, MATCH($B$7,'DATA DUMP'!$A2:$A723, 0), COLUMN()),"")</f>
        <v/>
      </c>
      <c r="AB31" s="212" t="str">
        <f>IFERROR(INDEX('DATA DUMP'!$A$2:$AD$723, MATCH($B$7,'DATA DUMP'!$A2:$A723, 0), COLUMN()),"")</f>
        <v/>
      </c>
      <c r="AC31" s="212" t="str">
        <f>IFERROR(INDEX('DATA DUMP'!$A$2:$AD$723, MATCH($B$7,'DATA DUMP'!$A2:$A723, 0), COLUMN()),"")</f>
        <v/>
      </c>
      <c r="AD31" s="212" t="str">
        <f>IFERROR(INDEX('DATA DUMP'!$A$2:$AD$723, MATCH($B$7,'DATA DUMP'!$A2:$A723, 0), COLUMN()),"")</f>
        <v/>
      </c>
    </row>
    <row r="32" spans="1:61" s="212" customFormat="1" x14ac:dyDescent="0.3">
      <c r="A32" s="212" t="str">
        <f>IFERROR(INDEX('DATA DUMP'!$A$2:$AD$723, MATCH($B$8,'DATA DUMP'!$A2:$A723, 0), COLUMN()),"")</f>
        <v/>
      </c>
      <c r="B32" s="212" t="str">
        <f>IFERROR(INDEX('DATA DUMP'!$A$2:$AD$723, MATCH($B$8,'DATA DUMP'!$A2:$A723, 0), COLUMN()),"")</f>
        <v/>
      </c>
      <c r="C32" s="212" t="str">
        <f>IFERROR(INDEX('DATA DUMP'!$A$2:$AD$723, MATCH($B$8,'DATA DUMP'!$A2:$A723, 0), COLUMN()),"")</f>
        <v/>
      </c>
      <c r="D32" s="212" t="str">
        <f>IFERROR(INDEX('DATA DUMP'!$A$2:$AD$723, MATCH($B$8,'DATA DUMP'!$A2:$A723, 0), COLUMN()),"")</f>
        <v/>
      </c>
      <c r="E32" s="212" t="str">
        <f>IFERROR(INDEX('DATA DUMP'!$A$2:$AD$723, MATCH($B$8,'DATA DUMP'!$A2:$A723, 0), COLUMN()),"")</f>
        <v/>
      </c>
      <c r="F32" s="212" t="str">
        <f>IFERROR(INDEX('DATA DUMP'!$A$2:$AD$723, MATCH($B$8,'DATA DUMP'!$A2:$A723, 0), COLUMN()),"")</f>
        <v/>
      </c>
      <c r="G32" s="212" t="str">
        <f>IFERROR(INDEX('DATA DUMP'!$A$2:$AD$723, MATCH($B$8,'DATA DUMP'!$A2:$A723, 0), COLUMN()),"")</f>
        <v/>
      </c>
      <c r="H32" s="212" t="str">
        <f>IFERROR(INDEX('DATA DUMP'!$A$2:$AD$723, MATCH($B$8,'DATA DUMP'!$A2:$A723, 0), COLUMN()),"")</f>
        <v/>
      </c>
      <c r="I32" s="212" t="str">
        <f>IFERROR(INDEX('DATA DUMP'!$A$2:$AD$723, MATCH($B$8,'DATA DUMP'!$A2:$A723, 0), COLUMN()),"")</f>
        <v/>
      </c>
      <c r="J32" s="212" t="str">
        <f>IFERROR(INDEX('DATA DUMP'!$A$2:$AD$723, MATCH($B$8,'DATA DUMP'!$A2:$A723, 0), COLUMN()),"")</f>
        <v/>
      </c>
      <c r="K32" s="212" t="str">
        <f>IFERROR(INDEX('DATA DUMP'!$A$2:$AD$723, MATCH($B$8,'DATA DUMP'!$A2:$A723, 0), COLUMN()),"")</f>
        <v/>
      </c>
      <c r="L32" s="212" t="str">
        <f>IFERROR(INDEX('DATA DUMP'!$A$2:$AD$723, MATCH($B$8,'DATA DUMP'!$A2:$A723, 0), COLUMN()),"")</f>
        <v/>
      </c>
      <c r="M32" s="212" t="str">
        <f>IFERROR(INDEX('DATA DUMP'!$A$2:$AD$723, MATCH($B$8,'DATA DUMP'!$A2:$A723, 0), COLUMN()),"")</f>
        <v/>
      </c>
      <c r="N32" s="212" t="str">
        <f>IFERROR(INDEX('DATA DUMP'!$A$2:$AD$723, MATCH($B$8,'DATA DUMP'!$A2:$A723, 0), COLUMN()),"")</f>
        <v/>
      </c>
      <c r="O32" s="212" t="str">
        <f>IFERROR(INDEX('DATA DUMP'!$A$2:$AD$723, MATCH($B$8,'DATA DUMP'!$A2:$A723, 0), COLUMN()),"")</f>
        <v/>
      </c>
      <c r="P32" s="212" t="str">
        <f>IFERROR(INDEX('DATA DUMP'!$A$2:$AD$723, MATCH($B$8,'DATA DUMP'!$A2:$A723, 0), COLUMN()),"")</f>
        <v/>
      </c>
      <c r="Q32" s="212" t="str">
        <f>IFERROR(INDEX('DATA DUMP'!$A$2:$AD$723, MATCH($B$8,'DATA DUMP'!$A2:$A723, 0), COLUMN()),"")</f>
        <v/>
      </c>
      <c r="R32" s="212" t="str">
        <f>IFERROR(INDEX('DATA DUMP'!$A$2:$AD$723, MATCH($B$8,'DATA DUMP'!$A2:$A723, 0), COLUMN()),"")</f>
        <v/>
      </c>
      <c r="S32" s="212" t="str">
        <f>IFERROR(INDEX('DATA DUMP'!$A$2:$AD$723, MATCH($B$8,'DATA DUMP'!$A2:$A723, 0), COLUMN()),"")</f>
        <v/>
      </c>
      <c r="T32" s="212" t="str">
        <f>IFERROR(INDEX('DATA DUMP'!$A$2:$AD$723, MATCH($B$8,'DATA DUMP'!$A2:$A723, 0), COLUMN()),"")</f>
        <v/>
      </c>
      <c r="U32" s="212" t="str">
        <f>IFERROR(INDEX('DATA DUMP'!$A$2:$AD$723, MATCH($B$8,'DATA DUMP'!$A2:$A723, 0), COLUMN()),"")</f>
        <v/>
      </c>
      <c r="V32" s="212" t="str">
        <f>IFERROR(INDEX('DATA DUMP'!$A$2:$AD$723, MATCH($B$8,'DATA DUMP'!$A2:$A723, 0), COLUMN()),"")</f>
        <v/>
      </c>
      <c r="W32" s="212" t="str">
        <f>IFERROR(INDEX('DATA DUMP'!$A$2:$AD$723, MATCH($B$8,'DATA DUMP'!$A2:$A723, 0), COLUMN()),"")</f>
        <v/>
      </c>
      <c r="X32" s="212" t="str">
        <f>IFERROR(INDEX('DATA DUMP'!$A$2:$AD$723, MATCH($B$8,'DATA DUMP'!$A2:$A723, 0), COLUMN()),"")</f>
        <v/>
      </c>
      <c r="Y32" s="212" t="str">
        <f>IFERROR(INDEX('DATA DUMP'!$A$2:$AD$723, MATCH($B$8,'DATA DUMP'!$A2:$A723, 0), COLUMN()),"")</f>
        <v/>
      </c>
      <c r="Z32" s="212" t="str">
        <f>IFERROR(INDEX('DATA DUMP'!$A$2:$AD$723, MATCH($B$8,'DATA DUMP'!$A2:$A723, 0), COLUMN()),"")</f>
        <v/>
      </c>
      <c r="AA32" s="212" t="str">
        <f>IFERROR(INDEX('DATA DUMP'!$A$2:$AD$723, MATCH($B$8,'DATA DUMP'!$A2:$A723, 0), COLUMN()),"")</f>
        <v/>
      </c>
      <c r="AB32" s="212" t="str">
        <f>IFERROR(INDEX('DATA DUMP'!$A$2:$AD$723, MATCH($B$8,'DATA DUMP'!$A2:$A723, 0), COLUMN()),"")</f>
        <v/>
      </c>
      <c r="AC32" s="212" t="str">
        <f>IFERROR(INDEX('DATA DUMP'!$A$2:$AD$723, MATCH($B$8,'DATA DUMP'!$A2:$A723, 0), COLUMN()),"")</f>
        <v/>
      </c>
      <c r="AD32" s="212" t="str">
        <f>IFERROR(INDEX('DATA DUMP'!$A$2:$AD$723, MATCH($B$8,'DATA DUMP'!$A2:$A723, 0), COLUMN()),"")</f>
        <v/>
      </c>
    </row>
    <row r="33" spans="1:30" s="212" customFormat="1" x14ac:dyDescent="0.3">
      <c r="A33" s="212" t="str">
        <f>IFERROR(INDEX('DATA DUMP'!$A$2:$AD$723, MATCH($B$9,'DATA DUMP'!$A2:$A723, 0), COLUMN()),"")</f>
        <v/>
      </c>
      <c r="B33" s="212" t="str">
        <f>IFERROR(INDEX('DATA DUMP'!$A$2:$AD$723, MATCH($B$9,'DATA DUMP'!$A2:$A723, 0), COLUMN()),"")</f>
        <v/>
      </c>
      <c r="C33" s="212" t="str">
        <f>IFERROR(INDEX('DATA DUMP'!$A$2:$AD$723, MATCH($B$9,'DATA DUMP'!$A2:$A723, 0), COLUMN()),"")</f>
        <v/>
      </c>
      <c r="D33" s="212" t="str">
        <f>IFERROR(INDEX('DATA DUMP'!$A$2:$AD$723, MATCH($B$9,'DATA DUMP'!$A2:$A723, 0), COLUMN()),"")</f>
        <v/>
      </c>
      <c r="E33" s="212" t="str">
        <f>IFERROR(INDEX('DATA DUMP'!$A$2:$AD$723, MATCH($B$9,'DATA DUMP'!$A2:$A723, 0), COLUMN()),"")</f>
        <v/>
      </c>
      <c r="F33" s="212" t="str">
        <f>IFERROR(INDEX('DATA DUMP'!$A$2:$AD$723, MATCH($B$9,'DATA DUMP'!$A2:$A723, 0), COLUMN()),"")</f>
        <v/>
      </c>
      <c r="G33" s="212" t="str">
        <f>IFERROR(INDEX('DATA DUMP'!$A$2:$AD$723, MATCH($B$9,'DATA DUMP'!$A2:$A723, 0), COLUMN()),"")</f>
        <v/>
      </c>
      <c r="H33" s="212" t="str">
        <f>IFERROR(INDEX('DATA DUMP'!$A$2:$AD$723, MATCH($B$9,'DATA DUMP'!$A2:$A723, 0), COLUMN()),"")</f>
        <v/>
      </c>
      <c r="I33" s="212" t="str">
        <f>IFERROR(INDEX('DATA DUMP'!$A$2:$AD$723, MATCH($B$9,'DATA DUMP'!$A2:$A723, 0), COLUMN()),"")</f>
        <v/>
      </c>
      <c r="J33" s="212" t="str">
        <f>IFERROR(INDEX('DATA DUMP'!$A$2:$AD$723, MATCH($B$9,'DATA DUMP'!$A2:$A723, 0), COLUMN()),"")</f>
        <v/>
      </c>
      <c r="K33" s="212" t="str">
        <f>IFERROR(INDEX('DATA DUMP'!$A$2:$AD$723, MATCH($B$9,'DATA DUMP'!$A2:$A723, 0), COLUMN()),"")</f>
        <v/>
      </c>
      <c r="L33" s="212" t="str">
        <f>IFERROR(INDEX('DATA DUMP'!$A$2:$AD$723, MATCH($B$9,'DATA DUMP'!$A2:$A723, 0), COLUMN()),"")</f>
        <v/>
      </c>
      <c r="M33" s="212" t="str">
        <f>IFERROR(INDEX('DATA DUMP'!$A$2:$AD$723, MATCH($B$9,'DATA DUMP'!$A2:$A723, 0), COLUMN()),"")</f>
        <v/>
      </c>
      <c r="N33" s="212" t="str">
        <f>IFERROR(INDEX('DATA DUMP'!$A$2:$AD$723, MATCH($B$9,'DATA DUMP'!$A2:$A723, 0), COLUMN()),"")</f>
        <v/>
      </c>
      <c r="O33" s="212" t="str">
        <f>IFERROR(INDEX('DATA DUMP'!$A$2:$AD$723, MATCH($B$9,'DATA DUMP'!$A2:$A723, 0), COLUMN()),"")</f>
        <v/>
      </c>
      <c r="P33" s="212" t="str">
        <f>IFERROR(INDEX('DATA DUMP'!$A$2:$AD$723, MATCH($B$9,'DATA DUMP'!$A2:$A723, 0), COLUMN()),"")</f>
        <v/>
      </c>
      <c r="Q33" s="212" t="str">
        <f>IFERROR(INDEX('DATA DUMP'!$A$2:$AD$723, MATCH($B$9,'DATA DUMP'!$A2:$A723, 0), COLUMN()),"")</f>
        <v/>
      </c>
      <c r="R33" s="212" t="str">
        <f>IFERROR(INDEX('DATA DUMP'!$A$2:$AD$723, MATCH($B$9,'DATA DUMP'!$A2:$A723, 0), COLUMN()),"")</f>
        <v/>
      </c>
      <c r="S33" s="212" t="str">
        <f>IFERROR(INDEX('DATA DUMP'!$A$2:$AD$723, MATCH($B$9,'DATA DUMP'!$A2:$A723, 0), COLUMN()),"")</f>
        <v/>
      </c>
      <c r="T33" s="212" t="str">
        <f>IFERROR(INDEX('DATA DUMP'!$A$2:$AD$723, MATCH($B$9,'DATA DUMP'!$A2:$A723, 0), COLUMN()),"")</f>
        <v/>
      </c>
      <c r="U33" s="212" t="str">
        <f>IFERROR(INDEX('DATA DUMP'!$A$2:$AD$723, MATCH($B$9,'DATA DUMP'!$A2:$A723, 0), COLUMN()),"")</f>
        <v/>
      </c>
      <c r="V33" s="212" t="str">
        <f>IFERROR(INDEX('DATA DUMP'!$A$2:$AD$723, MATCH($B$9,'DATA DUMP'!$A2:$A723, 0), COLUMN()),"")</f>
        <v/>
      </c>
      <c r="W33" s="212" t="str">
        <f>IFERROR(INDEX('DATA DUMP'!$A$2:$AD$723, MATCH($B$9,'DATA DUMP'!$A2:$A723, 0), COLUMN()),"")</f>
        <v/>
      </c>
      <c r="X33" s="212" t="str">
        <f>IFERROR(INDEX('DATA DUMP'!$A$2:$AD$723, MATCH($B$9,'DATA DUMP'!$A2:$A723, 0), COLUMN()),"")</f>
        <v/>
      </c>
      <c r="Y33" s="212" t="str">
        <f>IFERROR(INDEX('DATA DUMP'!$A$2:$AD$723, MATCH($B$9,'DATA DUMP'!$A2:$A723, 0), COLUMN()),"")</f>
        <v/>
      </c>
      <c r="Z33" s="212" t="str">
        <f>IFERROR(INDEX('DATA DUMP'!$A$2:$AD$723, MATCH($B$9,'DATA DUMP'!$A2:$A723, 0), COLUMN()),"")</f>
        <v/>
      </c>
      <c r="AA33" s="212" t="str">
        <f>IFERROR(INDEX('DATA DUMP'!$A$2:$AD$723, MATCH($B$9,'DATA DUMP'!$A2:$A723, 0), COLUMN()),"")</f>
        <v/>
      </c>
      <c r="AB33" s="212" t="str">
        <f>IFERROR(INDEX('DATA DUMP'!$A$2:$AD$723, MATCH($B$9,'DATA DUMP'!$A2:$A723, 0), COLUMN()),"")</f>
        <v/>
      </c>
      <c r="AC33" s="212" t="str">
        <f>IFERROR(INDEX('DATA DUMP'!$A$2:$AD$723, MATCH($B$9,'DATA DUMP'!$A2:$A723, 0), COLUMN()),"")</f>
        <v/>
      </c>
      <c r="AD33" s="212" t="str">
        <f>IFERROR(INDEX('DATA DUMP'!$A$2:$AD$723, MATCH($B$9,'DATA DUMP'!$A2:$A723, 0), COLUMN()),"")</f>
        <v/>
      </c>
    </row>
    <row r="34" spans="1:30" s="212" customFormat="1" x14ac:dyDescent="0.3">
      <c r="A34" s="212" t="str">
        <f>IFERROR(INDEX('DATA DUMP'!$A$2:$AD$723, MATCH($B$10,'DATA DUMP'!$A2:$A723, 0), COLUMN()),"")</f>
        <v/>
      </c>
      <c r="B34" s="212" t="str">
        <f>IFERROR(INDEX('DATA DUMP'!$A$2:$AD$723, MATCH($B$10,'DATA DUMP'!$A2:$A723, 0), COLUMN()),"")</f>
        <v/>
      </c>
      <c r="C34" s="212" t="str">
        <f>IFERROR(INDEX('DATA DUMP'!$A$2:$AD$723, MATCH($B$10,'DATA DUMP'!$A2:$A723, 0), COLUMN()),"")</f>
        <v/>
      </c>
      <c r="D34" s="212" t="str">
        <f>IFERROR(INDEX('DATA DUMP'!$A$2:$AD$723, MATCH($B$10,'DATA DUMP'!$A2:$A723, 0), COLUMN()),"")</f>
        <v/>
      </c>
      <c r="E34" s="212" t="str">
        <f>IFERROR(INDEX('DATA DUMP'!$A$2:$AD$723, MATCH($B$10,'DATA DUMP'!$A2:$A723, 0), COLUMN()),"")</f>
        <v/>
      </c>
      <c r="F34" s="212" t="str">
        <f>IFERROR(INDEX('DATA DUMP'!$A$2:$AD$723, MATCH($B$10,'DATA DUMP'!$A2:$A723, 0), COLUMN()),"")</f>
        <v/>
      </c>
      <c r="G34" s="212" t="str">
        <f>IFERROR(INDEX('DATA DUMP'!$A$2:$AD$723, MATCH($B$10,'DATA DUMP'!$A2:$A723, 0), COLUMN()),"")</f>
        <v/>
      </c>
      <c r="H34" s="212" t="str">
        <f>IFERROR(INDEX('DATA DUMP'!$A$2:$AD$723, MATCH($B$10,'DATA DUMP'!$A2:$A723, 0), COLUMN()),"")</f>
        <v/>
      </c>
      <c r="I34" s="212" t="str">
        <f>IFERROR(INDEX('DATA DUMP'!$A$2:$AD$723, MATCH($B$10,'DATA DUMP'!$A2:$A723, 0), COLUMN()),"")</f>
        <v/>
      </c>
      <c r="J34" s="212" t="str">
        <f>IFERROR(INDEX('DATA DUMP'!$A$2:$AD$723, MATCH($B$10,'DATA DUMP'!$A2:$A723, 0), COLUMN()),"")</f>
        <v/>
      </c>
      <c r="K34" s="212" t="str">
        <f>IFERROR(INDEX('DATA DUMP'!$A$2:$AD$723, MATCH($B$10,'DATA DUMP'!$A2:$A723, 0), COLUMN()),"")</f>
        <v/>
      </c>
      <c r="L34" s="212" t="str">
        <f>IFERROR(INDEX('DATA DUMP'!$A$2:$AD$723, MATCH($B$10,'DATA DUMP'!$A2:$A723, 0), COLUMN()),"")</f>
        <v/>
      </c>
      <c r="M34" s="212" t="str">
        <f>IFERROR(INDEX('DATA DUMP'!$A$2:$AD$723, MATCH($B$10,'DATA DUMP'!$A2:$A723, 0), COLUMN()),"")</f>
        <v/>
      </c>
      <c r="N34" s="212" t="str">
        <f>IFERROR(INDEX('DATA DUMP'!$A$2:$AD$723, MATCH($B$10,'DATA DUMP'!$A2:$A723, 0), COLUMN()),"")</f>
        <v/>
      </c>
      <c r="O34" s="212" t="str">
        <f>IFERROR(INDEX('DATA DUMP'!$A$2:$AD$723, MATCH($B$10,'DATA DUMP'!$A2:$A723, 0), COLUMN()),"")</f>
        <v/>
      </c>
      <c r="P34" s="212" t="str">
        <f>IFERROR(INDEX('DATA DUMP'!$A$2:$AD$723, MATCH($B$10,'DATA DUMP'!$A2:$A723, 0), COLUMN()),"")</f>
        <v/>
      </c>
      <c r="Q34" s="212" t="str">
        <f>IFERROR(INDEX('DATA DUMP'!$A$2:$AD$723, MATCH($B$10,'DATA DUMP'!$A2:$A723, 0), COLUMN()),"")</f>
        <v/>
      </c>
      <c r="R34" s="212" t="str">
        <f>IFERROR(INDEX('DATA DUMP'!$A$2:$AD$723, MATCH($B$10,'DATA DUMP'!$A2:$A723, 0), COLUMN()),"")</f>
        <v/>
      </c>
      <c r="S34" s="212" t="str">
        <f>IFERROR(INDEX('DATA DUMP'!$A$2:$AD$723, MATCH($B$10,'DATA DUMP'!$A2:$A723, 0), COLUMN()),"")</f>
        <v/>
      </c>
      <c r="T34" s="212" t="str">
        <f>IFERROR(INDEX('DATA DUMP'!$A$2:$AD$723, MATCH($B$10,'DATA DUMP'!$A2:$A723, 0), COLUMN()),"")</f>
        <v/>
      </c>
      <c r="U34" s="212" t="str">
        <f>IFERROR(INDEX('DATA DUMP'!$A$2:$AD$723, MATCH($B$10,'DATA DUMP'!$A2:$A723, 0), COLUMN()),"")</f>
        <v/>
      </c>
      <c r="V34" s="212" t="str">
        <f>IFERROR(INDEX('DATA DUMP'!$A$2:$AD$723, MATCH($B$10,'DATA DUMP'!$A2:$A723, 0), COLUMN()),"")</f>
        <v/>
      </c>
      <c r="W34" s="212" t="str">
        <f>IFERROR(INDEX('DATA DUMP'!$A$2:$AD$723, MATCH($B$10,'DATA DUMP'!$A2:$A723, 0), COLUMN()),"")</f>
        <v/>
      </c>
      <c r="X34" s="212" t="str">
        <f>IFERROR(INDEX('DATA DUMP'!$A$2:$AD$723, MATCH($B$10,'DATA DUMP'!$A2:$A723, 0), COLUMN()),"")</f>
        <v/>
      </c>
      <c r="Y34" s="212" t="str">
        <f>IFERROR(INDEX('DATA DUMP'!$A$2:$AD$723, MATCH($B$10,'DATA DUMP'!$A2:$A723, 0), COLUMN()),"")</f>
        <v/>
      </c>
      <c r="Z34" s="212" t="str">
        <f>IFERROR(INDEX('DATA DUMP'!$A$2:$AD$723, MATCH($B$10,'DATA DUMP'!$A2:$A723, 0), COLUMN()),"")</f>
        <v/>
      </c>
      <c r="AA34" s="212" t="str">
        <f>IFERROR(INDEX('DATA DUMP'!$A$2:$AD$723, MATCH($B$10,'DATA DUMP'!$A2:$A723, 0), COLUMN()),"")</f>
        <v/>
      </c>
      <c r="AB34" s="212" t="str">
        <f>IFERROR(INDEX('DATA DUMP'!$A$2:$AD$723, MATCH($B$10,'DATA DUMP'!$A2:$A723, 0), COLUMN()),"")</f>
        <v/>
      </c>
      <c r="AC34" s="212" t="str">
        <f>IFERROR(INDEX('DATA DUMP'!$A$2:$AD$723, MATCH($B$10,'DATA DUMP'!$A2:$A723, 0), COLUMN()),"")</f>
        <v/>
      </c>
      <c r="AD34" s="212" t="str">
        <f>IFERROR(INDEX('DATA DUMP'!$A$2:$AD$723, MATCH($B$10,'DATA DUMP'!$A2:$A723, 0), COLUMN()),"")</f>
        <v/>
      </c>
    </row>
    <row r="35" spans="1:30" s="212" customFormat="1" x14ac:dyDescent="0.3">
      <c r="A35" s="212" t="str">
        <f>IFERROR(INDEX('DATA DUMP'!$A$2:$AD$723, MATCH($B$11,'DATA DUMP'!$A2:$A723, 0), COLUMN()),"")</f>
        <v/>
      </c>
      <c r="B35" s="212" t="str">
        <f>IFERROR(INDEX('DATA DUMP'!$A$2:$AD$723, MATCH($B$11,'DATA DUMP'!$A2:$A723, 0), COLUMN()),"")</f>
        <v/>
      </c>
      <c r="C35" s="212" t="str">
        <f>IFERROR(INDEX('DATA DUMP'!$A$2:$AD$723, MATCH($B$11,'DATA DUMP'!$A2:$A723, 0), COLUMN()),"")</f>
        <v/>
      </c>
      <c r="D35" s="212" t="str">
        <f>IFERROR(INDEX('DATA DUMP'!$A$2:$AD$723, MATCH($B$11,'DATA DUMP'!$A2:$A723, 0), COLUMN()),"")</f>
        <v/>
      </c>
      <c r="E35" s="212" t="str">
        <f>IFERROR(INDEX('DATA DUMP'!$A$2:$AD$723, MATCH($B$11,'DATA DUMP'!$A2:$A723, 0), COLUMN()),"")</f>
        <v/>
      </c>
      <c r="F35" s="212" t="str">
        <f>IFERROR(INDEX('DATA DUMP'!$A$2:$AD$723, MATCH($B$11,'DATA DUMP'!$A2:$A723, 0), COLUMN()),"")</f>
        <v/>
      </c>
      <c r="G35" s="212" t="str">
        <f>IFERROR(INDEX('DATA DUMP'!$A$2:$AD$723, MATCH($B$11,'DATA DUMP'!$A2:$A723, 0), COLUMN()),"")</f>
        <v/>
      </c>
      <c r="H35" s="212" t="str">
        <f>IFERROR(INDEX('DATA DUMP'!$A$2:$AD$723, MATCH($B$11,'DATA DUMP'!$A2:$A723, 0), COLUMN()),"")</f>
        <v/>
      </c>
      <c r="I35" s="212" t="str">
        <f>IFERROR(INDEX('DATA DUMP'!$A$2:$AD$723, MATCH($B$11,'DATA DUMP'!$A2:$A723, 0), COLUMN()),"")</f>
        <v/>
      </c>
      <c r="J35" s="212" t="str">
        <f>IFERROR(INDEX('DATA DUMP'!$A$2:$AD$723, MATCH($B$11,'DATA DUMP'!$A2:$A723, 0), COLUMN()),"")</f>
        <v/>
      </c>
      <c r="K35" s="212" t="str">
        <f>IFERROR(INDEX('DATA DUMP'!$A$2:$AD$723, MATCH($B$11,'DATA DUMP'!$A2:$A723, 0), COLUMN()),"")</f>
        <v/>
      </c>
      <c r="L35" s="212" t="str">
        <f>IFERROR(INDEX('DATA DUMP'!$A$2:$AD$723, MATCH($B$11,'DATA DUMP'!$A2:$A723, 0), COLUMN()),"")</f>
        <v/>
      </c>
      <c r="M35" s="212" t="str">
        <f>IFERROR(INDEX('DATA DUMP'!$A$2:$AD$723, MATCH($B$11,'DATA DUMP'!$A2:$A723, 0), COLUMN()),"")</f>
        <v/>
      </c>
      <c r="N35" s="212" t="str">
        <f>IFERROR(INDEX('DATA DUMP'!$A$2:$AD$723, MATCH($B$11,'DATA DUMP'!$A2:$A723, 0), COLUMN()),"")</f>
        <v/>
      </c>
      <c r="O35" s="212" t="str">
        <f>IFERROR(INDEX('DATA DUMP'!$A$2:$AD$723, MATCH($B$11,'DATA DUMP'!$A2:$A723, 0), COLUMN()),"")</f>
        <v/>
      </c>
      <c r="P35" s="212" t="str">
        <f>IFERROR(INDEX('DATA DUMP'!$A$2:$AD$723, MATCH($B$11,'DATA DUMP'!$A2:$A723, 0), COLUMN()),"")</f>
        <v/>
      </c>
      <c r="Q35" s="212" t="str">
        <f>IFERROR(INDEX('DATA DUMP'!$A$2:$AD$723, MATCH($B$11,'DATA DUMP'!$A2:$A723, 0), COLUMN()),"")</f>
        <v/>
      </c>
      <c r="R35" s="212" t="str">
        <f>IFERROR(INDEX('DATA DUMP'!$A$2:$AD$723, MATCH($B$11,'DATA DUMP'!$A2:$A723, 0), COLUMN()),"")</f>
        <v/>
      </c>
      <c r="S35" s="212" t="str">
        <f>IFERROR(INDEX('DATA DUMP'!$A$2:$AD$723, MATCH($B$11,'DATA DUMP'!$A2:$A723, 0), COLUMN()),"")</f>
        <v/>
      </c>
      <c r="T35" s="212" t="str">
        <f>IFERROR(INDEX('DATA DUMP'!$A$2:$AD$723, MATCH($B$11,'DATA DUMP'!$A2:$A723, 0), COLUMN()),"")</f>
        <v/>
      </c>
      <c r="U35" s="212" t="str">
        <f>IFERROR(INDEX('DATA DUMP'!$A$2:$AD$723, MATCH($B$11,'DATA DUMP'!$A2:$A723, 0), COLUMN()),"")</f>
        <v/>
      </c>
      <c r="V35" s="212" t="str">
        <f>IFERROR(INDEX('DATA DUMP'!$A$2:$AD$723, MATCH($B$11,'DATA DUMP'!$A2:$A723, 0), COLUMN()),"")</f>
        <v/>
      </c>
      <c r="W35" s="212" t="str">
        <f>IFERROR(INDEX('DATA DUMP'!$A$2:$AD$723, MATCH($B$11,'DATA DUMP'!$A2:$A723, 0), COLUMN()),"")</f>
        <v/>
      </c>
      <c r="X35" s="212" t="str">
        <f>IFERROR(INDEX('DATA DUMP'!$A$2:$AD$723, MATCH($B$11,'DATA DUMP'!$A2:$A723, 0), COLUMN()),"")</f>
        <v/>
      </c>
      <c r="Y35" s="212" t="str">
        <f>IFERROR(INDEX('DATA DUMP'!$A$2:$AD$723, MATCH($B$11,'DATA DUMP'!$A2:$A723, 0), COLUMN()),"")</f>
        <v/>
      </c>
      <c r="Z35" s="212" t="str">
        <f>IFERROR(INDEX('DATA DUMP'!$A$2:$AD$723, MATCH($B$11,'DATA DUMP'!$A2:$A723, 0), COLUMN()),"")</f>
        <v/>
      </c>
      <c r="AA35" s="212" t="str">
        <f>IFERROR(INDEX('DATA DUMP'!$A$2:$AD$723, MATCH($B$11,'DATA DUMP'!$A2:$A723, 0), COLUMN()),"")</f>
        <v/>
      </c>
      <c r="AB35" s="212" t="str">
        <f>IFERROR(INDEX('DATA DUMP'!$A$2:$AD$723, MATCH($B$11,'DATA DUMP'!$A2:$A723, 0), COLUMN()),"")</f>
        <v/>
      </c>
      <c r="AC35" s="212" t="str">
        <f>IFERROR(INDEX('DATA DUMP'!$A$2:$AD$723, MATCH($B$11,'DATA DUMP'!$A2:$A723, 0), COLUMN()),"")</f>
        <v/>
      </c>
      <c r="AD35" s="212" t="str">
        <f>IFERROR(INDEX('DATA DUMP'!$A$2:$AD$723, MATCH($B$11,'DATA DUMP'!$A2:$A723, 0), COLUMN()),"")</f>
        <v/>
      </c>
    </row>
    <row r="36" spans="1:30" s="212" customFormat="1" x14ac:dyDescent="0.3">
      <c r="A36" s="212" t="str">
        <f>IFERROR(INDEX('DATA DUMP'!$A$2:$AD$723, MATCH($B$12,'DATA DUMP'!$A2:$A723, 0), COLUMN()),"")</f>
        <v/>
      </c>
      <c r="B36" s="212" t="str">
        <f>IFERROR(INDEX('DATA DUMP'!$A$2:$AD$723, MATCH($B$12,'DATA DUMP'!$A2:$A723, 0), COLUMN()),"")</f>
        <v/>
      </c>
      <c r="C36" s="212" t="str">
        <f>IFERROR(INDEX('DATA DUMP'!$A$2:$AD$723, MATCH($B$12,'DATA DUMP'!$A2:$A723, 0), COLUMN()),"")</f>
        <v/>
      </c>
      <c r="D36" s="212" t="str">
        <f>IFERROR(INDEX('DATA DUMP'!$A$2:$AD$723, MATCH($B$12,'DATA DUMP'!$A2:$A723, 0), COLUMN()),"")</f>
        <v/>
      </c>
      <c r="E36" s="212" t="str">
        <f>IFERROR(INDEX('DATA DUMP'!$A$2:$AD$723, MATCH($B$12,'DATA DUMP'!$A2:$A723, 0), COLUMN()),"")</f>
        <v/>
      </c>
      <c r="F36" s="212" t="str">
        <f>IFERROR(INDEX('DATA DUMP'!$A$2:$AD$723, MATCH($B$12,'DATA DUMP'!$A2:$A723, 0), COLUMN()),"")</f>
        <v/>
      </c>
      <c r="G36" s="212" t="str">
        <f>IFERROR(INDEX('DATA DUMP'!$A$2:$AD$723, MATCH($B$12,'DATA DUMP'!$A2:$A723, 0), COLUMN()),"")</f>
        <v/>
      </c>
      <c r="H36" s="212" t="str">
        <f>IFERROR(INDEX('DATA DUMP'!$A$2:$AD$723, MATCH($B$12,'DATA DUMP'!$A2:$A723, 0), COLUMN()),"")</f>
        <v/>
      </c>
      <c r="I36" s="212" t="str">
        <f>IFERROR(INDEX('DATA DUMP'!$A$2:$AD$723, MATCH($B$12,'DATA DUMP'!$A2:$A723, 0), COLUMN()),"")</f>
        <v/>
      </c>
      <c r="J36" s="212" t="str">
        <f>IFERROR(INDEX('DATA DUMP'!$A$2:$AD$723, MATCH($B$12,'DATA DUMP'!$A2:$A723, 0), COLUMN()),"")</f>
        <v/>
      </c>
      <c r="K36" s="212" t="str">
        <f>IFERROR(INDEX('DATA DUMP'!$A$2:$AD$723, MATCH($B$12,'DATA DUMP'!$A2:$A723, 0), COLUMN()),"")</f>
        <v/>
      </c>
      <c r="L36" s="212" t="str">
        <f>IFERROR(INDEX('DATA DUMP'!$A$2:$AD$723, MATCH($B$12,'DATA DUMP'!$A2:$A723, 0), COLUMN()),"")</f>
        <v/>
      </c>
      <c r="M36" s="212" t="str">
        <f>IFERROR(INDEX('DATA DUMP'!$A$2:$AD$723, MATCH($B$12,'DATA DUMP'!$A2:$A723, 0), COLUMN()),"")</f>
        <v/>
      </c>
      <c r="N36" s="212" t="str">
        <f>IFERROR(INDEX('DATA DUMP'!$A$2:$AD$723, MATCH($B$12,'DATA DUMP'!$A2:$A723, 0), COLUMN()),"")</f>
        <v/>
      </c>
      <c r="O36" s="212" t="str">
        <f>IFERROR(INDEX('DATA DUMP'!$A$2:$AD$723, MATCH($B$12,'DATA DUMP'!$A2:$A723, 0), COLUMN()),"")</f>
        <v/>
      </c>
      <c r="P36" s="212" t="str">
        <f>IFERROR(INDEX('DATA DUMP'!$A$2:$AD$723, MATCH($B$12,'DATA DUMP'!$A2:$A723, 0), COLUMN()),"")</f>
        <v/>
      </c>
      <c r="Q36" s="212" t="str">
        <f>IFERROR(INDEX('DATA DUMP'!$A$2:$AD$723, MATCH($B$12,'DATA DUMP'!$A2:$A723, 0), COLUMN()),"")</f>
        <v/>
      </c>
      <c r="R36" s="212" t="str">
        <f>IFERROR(INDEX('DATA DUMP'!$A$2:$AD$723, MATCH($B$12,'DATA DUMP'!$A2:$A723, 0), COLUMN()),"")</f>
        <v/>
      </c>
      <c r="S36" s="212" t="str">
        <f>IFERROR(INDEX('DATA DUMP'!$A$2:$AD$723, MATCH($B$12,'DATA DUMP'!$A2:$A723, 0), COLUMN()),"")</f>
        <v/>
      </c>
      <c r="T36" s="212" t="str">
        <f>IFERROR(INDEX('DATA DUMP'!$A$2:$AD$723, MATCH($B$12,'DATA DUMP'!$A2:$A723, 0), COLUMN()),"")</f>
        <v/>
      </c>
      <c r="U36" s="212" t="str">
        <f>IFERROR(INDEX('DATA DUMP'!$A$2:$AD$723, MATCH($B$12,'DATA DUMP'!$A2:$A723, 0), COLUMN()),"")</f>
        <v/>
      </c>
      <c r="V36" s="212" t="str">
        <f>IFERROR(INDEX('DATA DUMP'!$A$2:$AD$723, MATCH($B$12,'DATA DUMP'!$A2:$A723, 0), COLUMN()),"")</f>
        <v/>
      </c>
      <c r="W36" s="212" t="str">
        <f>IFERROR(INDEX('DATA DUMP'!$A$2:$AD$723, MATCH($B$12,'DATA DUMP'!$A2:$A723, 0), COLUMN()),"")</f>
        <v/>
      </c>
      <c r="X36" s="212" t="str">
        <f>IFERROR(INDEX('DATA DUMP'!$A$2:$AD$723, MATCH($B$12,'DATA DUMP'!$A2:$A723, 0), COLUMN()),"")</f>
        <v/>
      </c>
      <c r="Y36" s="212" t="str">
        <f>IFERROR(INDEX('DATA DUMP'!$A$2:$AD$723, MATCH($B$12,'DATA DUMP'!$A2:$A723, 0), COLUMN()),"")</f>
        <v/>
      </c>
      <c r="Z36" s="212" t="str">
        <f>IFERROR(INDEX('DATA DUMP'!$A$2:$AD$723, MATCH($B$12,'DATA DUMP'!$A2:$A723, 0), COLUMN()),"")</f>
        <v/>
      </c>
      <c r="AA36" s="212" t="str">
        <f>IFERROR(INDEX('DATA DUMP'!$A$2:$AD$723, MATCH($B$12,'DATA DUMP'!$A2:$A723, 0), COLUMN()),"")</f>
        <v/>
      </c>
      <c r="AB36" s="212" t="str">
        <f>IFERROR(INDEX('DATA DUMP'!$A$2:$AD$723, MATCH($B$12,'DATA DUMP'!$A2:$A723, 0), COLUMN()),"")</f>
        <v/>
      </c>
      <c r="AC36" s="212" t="str">
        <f>IFERROR(INDEX('DATA DUMP'!$A$2:$AD$723, MATCH($B$12,'DATA DUMP'!$A2:$A723, 0), COLUMN()),"")</f>
        <v/>
      </c>
      <c r="AD36" s="212" t="str">
        <f>IFERROR(INDEX('DATA DUMP'!$A$2:$AD$723, MATCH($B$12,'DATA DUMP'!$A2:$A723, 0), COLUMN()),"")</f>
        <v/>
      </c>
    </row>
    <row r="37" spans="1:30" s="212" customFormat="1" x14ac:dyDescent="0.3">
      <c r="A37" s="212" t="str">
        <f>IFERROR(INDEX('DATA DUMP'!$A$2:$AD$723, MATCH($B$13,'DATA DUMP'!$A2:$A723, 0), COLUMN()),"")</f>
        <v/>
      </c>
      <c r="B37" s="212" t="str">
        <f>IFERROR(INDEX('DATA DUMP'!$A$2:$AD$723, MATCH($B$13,'DATA DUMP'!$A2:$A723, 0), COLUMN()),"")</f>
        <v/>
      </c>
      <c r="C37" s="212" t="str">
        <f>IFERROR(INDEX('DATA DUMP'!$A$2:$AD$723, MATCH($B$13,'DATA DUMP'!$A2:$A723, 0), COLUMN()),"")</f>
        <v/>
      </c>
      <c r="D37" s="212" t="str">
        <f>IFERROR(INDEX('DATA DUMP'!$A$2:$AD$723, MATCH($B$13,'DATA DUMP'!$A2:$A723, 0), COLUMN()),"")</f>
        <v/>
      </c>
      <c r="E37" s="212" t="str">
        <f>IFERROR(INDEX('DATA DUMP'!$A$2:$AD$723, MATCH($B$13,'DATA DUMP'!$A2:$A723, 0), COLUMN()),"")</f>
        <v/>
      </c>
      <c r="F37" s="212" t="str">
        <f>IFERROR(INDEX('DATA DUMP'!$A$2:$AD$723, MATCH($B$13,'DATA DUMP'!$A2:$A723, 0), COLUMN()),"")</f>
        <v/>
      </c>
      <c r="G37" s="212" t="str">
        <f>IFERROR(INDEX('DATA DUMP'!$A$2:$AD$723, MATCH($B$13,'DATA DUMP'!$A2:$A723, 0), COLUMN()),"")</f>
        <v/>
      </c>
      <c r="H37" s="212" t="str">
        <f>IFERROR(INDEX('DATA DUMP'!$A$2:$AD$723, MATCH($B$13,'DATA DUMP'!$A2:$A723, 0), COLUMN()),"")</f>
        <v/>
      </c>
      <c r="I37" s="212" t="str">
        <f>IFERROR(INDEX('DATA DUMP'!$A$2:$AD$723, MATCH($B$13,'DATA DUMP'!$A2:$A723, 0), COLUMN()),"")</f>
        <v/>
      </c>
      <c r="J37" s="212" t="str">
        <f>IFERROR(INDEX('DATA DUMP'!$A$2:$AD$723, MATCH($B$13,'DATA DUMP'!$A2:$A723, 0), COLUMN()),"")</f>
        <v/>
      </c>
      <c r="K37" s="212" t="str">
        <f>IFERROR(INDEX('DATA DUMP'!$A$2:$AD$723, MATCH($B$13,'DATA DUMP'!$A2:$A723, 0), COLUMN()),"")</f>
        <v/>
      </c>
      <c r="L37" s="212" t="str">
        <f>IFERROR(INDEX('DATA DUMP'!$A$2:$AD$723, MATCH($B$13,'DATA DUMP'!$A2:$A723, 0), COLUMN()),"")</f>
        <v/>
      </c>
      <c r="M37" s="212" t="str">
        <f>IFERROR(INDEX('DATA DUMP'!$A$2:$AD$723, MATCH($B$13,'DATA DUMP'!$A2:$A723, 0), COLUMN()),"")</f>
        <v/>
      </c>
      <c r="N37" s="212" t="str">
        <f>IFERROR(INDEX('DATA DUMP'!$A$2:$AD$723, MATCH($B$13,'DATA DUMP'!$A2:$A723, 0), COLUMN()),"")</f>
        <v/>
      </c>
      <c r="O37" s="212" t="str">
        <f>IFERROR(INDEX('DATA DUMP'!$A$2:$AD$723, MATCH($B$13,'DATA DUMP'!$A2:$A723, 0), COLUMN()),"")</f>
        <v/>
      </c>
      <c r="P37" s="212" t="str">
        <f>IFERROR(INDEX('DATA DUMP'!$A$2:$AD$723, MATCH($B$13,'DATA DUMP'!$A2:$A723, 0), COLUMN()),"")</f>
        <v/>
      </c>
      <c r="Q37" s="212" t="str">
        <f>IFERROR(INDEX('DATA DUMP'!$A$2:$AD$723, MATCH($B$13,'DATA DUMP'!$A2:$A723, 0), COLUMN()),"")</f>
        <v/>
      </c>
      <c r="R37" s="212" t="str">
        <f>IFERROR(INDEX('DATA DUMP'!$A$2:$AD$723, MATCH($B$13,'DATA DUMP'!$A2:$A723, 0), COLUMN()),"")</f>
        <v/>
      </c>
      <c r="S37" s="212" t="str">
        <f>IFERROR(INDEX('DATA DUMP'!$A$2:$AD$723, MATCH($B$13,'DATA DUMP'!$A2:$A723, 0), COLUMN()),"")</f>
        <v/>
      </c>
      <c r="T37" s="212" t="str">
        <f>IFERROR(INDEX('DATA DUMP'!$A$2:$AD$723, MATCH($B$13,'DATA DUMP'!$A2:$A723, 0), COLUMN()),"")</f>
        <v/>
      </c>
      <c r="U37" s="212" t="str">
        <f>IFERROR(INDEX('DATA DUMP'!$A$2:$AD$723, MATCH($B$13,'DATA DUMP'!$A2:$A723, 0), COLUMN()),"")</f>
        <v/>
      </c>
      <c r="V37" s="212" t="str">
        <f>IFERROR(INDEX('DATA DUMP'!$A$2:$AD$723, MATCH($B$13,'DATA DUMP'!$A2:$A723, 0), COLUMN()),"")</f>
        <v/>
      </c>
      <c r="W37" s="212" t="str">
        <f>IFERROR(INDEX('DATA DUMP'!$A$2:$AD$723, MATCH($B$13,'DATA DUMP'!$A2:$A723, 0), COLUMN()),"")</f>
        <v/>
      </c>
      <c r="X37" s="212" t="str">
        <f>IFERROR(INDEX('DATA DUMP'!$A$2:$AD$723, MATCH($B$13,'DATA DUMP'!$A2:$A723, 0), COLUMN()),"")</f>
        <v/>
      </c>
      <c r="Y37" s="212" t="str">
        <f>IFERROR(INDEX('DATA DUMP'!$A$2:$AD$723, MATCH($B$13,'DATA DUMP'!$A2:$A723, 0), COLUMN()),"")</f>
        <v/>
      </c>
      <c r="Z37" s="212" t="str">
        <f>IFERROR(INDEX('DATA DUMP'!$A$2:$AD$723, MATCH($B$13,'DATA DUMP'!$A2:$A723, 0), COLUMN()),"")</f>
        <v/>
      </c>
      <c r="AA37" s="212" t="str">
        <f>IFERROR(INDEX('DATA DUMP'!$A$2:$AD$723, MATCH($B$13,'DATA DUMP'!$A2:$A723, 0), COLUMN()),"")</f>
        <v/>
      </c>
      <c r="AB37" s="212" t="str">
        <f>IFERROR(INDEX('DATA DUMP'!$A$2:$AD$723, MATCH($B$13,'DATA DUMP'!$A2:$A723, 0), COLUMN()),"")</f>
        <v/>
      </c>
      <c r="AC37" s="212" t="str">
        <f>IFERROR(INDEX('DATA DUMP'!$A$2:$AD$723, MATCH($B$13,'DATA DUMP'!$A2:$A723, 0), COLUMN()),"")</f>
        <v/>
      </c>
      <c r="AD37" s="212" t="str">
        <f>IFERROR(INDEX('DATA DUMP'!$A$2:$AD$723, MATCH($B$13,'DATA DUMP'!$A2:$A723, 0), COLUMN()),"")</f>
        <v/>
      </c>
    </row>
    <row r="38" spans="1:30" s="212" customFormat="1" x14ac:dyDescent="0.3">
      <c r="A38" s="212" t="str">
        <f>IFERROR(INDEX('DATA DUMP'!$A$2:$AD$723, MATCH($B$14,'DATA DUMP'!$A2:$A723, 0), COLUMN()),"")</f>
        <v/>
      </c>
      <c r="B38" s="212" t="str">
        <f>IFERROR(INDEX('DATA DUMP'!$A$2:$AD$723, MATCH($B$14,'DATA DUMP'!$A2:$A723, 0), COLUMN()),"")</f>
        <v/>
      </c>
      <c r="C38" s="212" t="str">
        <f>IFERROR(INDEX('DATA DUMP'!$A$2:$AD$723, MATCH($B$14,'DATA DUMP'!$A2:$A723, 0), COLUMN()),"")</f>
        <v/>
      </c>
      <c r="D38" s="212" t="str">
        <f>IFERROR(INDEX('DATA DUMP'!$A$2:$AD$723, MATCH($B$14,'DATA DUMP'!$A2:$A723, 0), COLUMN()),"")</f>
        <v/>
      </c>
      <c r="E38" s="212" t="str">
        <f>IFERROR(INDEX('DATA DUMP'!$A$2:$AD$723, MATCH($B$14,'DATA DUMP'!$A2:$A723, 0), COLUMN()),"")</f>
        <v/>
      </c>
      <c r="F38" s="212" t="str">
        <f>IFERROR(INDEX('DATA DUMP'!$A$2:$AD$723, MATCH($B$14,'DATA DUMP'!$A2:$A723, 0), COLUMN()),"")</f>
        <v/>
      </c>
      <c r="G38" s="212" t="str">
        <f>IFERROR(INDEX('DATA DUMP'!$A$2:$AD$723, MATCH($B$14,'DATA DUMP'!$A2:$A723, 0), COLUMN()),"")</f>
        <v/>
      </c>
      <c r="H38" s="212" t="str">
        <f>IFERROR(INDEX('DATA DUMP'!$A$2:$AD$723, MATCH($B$14,'DATA DUMP'!$A2:$A723, 0), COLUMN()),"")</f>
        <v/>
      </c>
      <c r="I38" s="212" t="str">
        <f>IFERROR(INDEX('DATA DUMP'!$A$2:$AD$723, MATCH($B$14,'DATA DUMP'!$A2:$A723, 0), COLUMN()),"")</f>
        <v/>
      </c>
      <c r="J38" s="212" t="str">
        <f>IFERROR(INDEX('DATA DUMP'!$A$2:$AD$723, MATCH($B$14,'DATA DUMP'!$A2:$A723, 0), COLUMN()),"")</f>
        <v/>
      </c>
      <c r="K38" s="212" t="str">
        <f>IFERROR(INDEX('DATA DUMP'!$A$2:$AD$723, MATCH($B$14,'DATA DUMP'!$A2:$A723, 0), COLUMN()),"")</f>
        <v/>
      </c>
      <c r="L38" s="212" t="str">
        <f>IFERROR(INDEX('DATA DUMP'!$A$2:$AD$723, MATCH($B$14,'DATA DUMP'!$A2:$A723, 0), COLUMN()),"")</f>
        <v/>
      </c>
      <c r="M38" s="212" t="str">
        <f>IFERROR(INDEX('DATA DUMP'!$A$2:$AD$723, MATCH($B$14,'DATA DUMP'!$A2:$A723, 0), COLUMN()),"")</f>
        <v/>
      </c>
      <c r="N38" s="212" t="str">
        <f>IFERROR(INDEX('DATA DUMP'!$A$2:$AD$723, MATCH($B$14,'DATA DUMP'!$A2:$A723, 0), COLUMN()),"")</f>
        <v/>
      </c>
      <c r="O38" s="212" t="str">
        <f>IFERROR(INDEX('DATA DUMP'!$A$2:$AD$723, MATCH($B$14,'DATA DUMP'!$A2:$A723, 0), COLUMN()),"")</f>
        <v/>
      </c>
      <c r="P38" s="212" t="str">
        <f>IFERROR(INDEX('DATA DUMP'!$A$2:$AD$723, MATCH($B$14,'DATA DUMP'!$A2:$A723, 0), COLUMN()),"")</f>
        <v/>
      </c>
      <c r="Q38" s="212" t="str">
        <f>IFERROR(INDEX('DATA DUMP'!$A$2:$AD$723, MATCH($B$14,'DATA DUMP'!$A2:$A723, 0), COLUMN()),"")</f>
        <v/>
      </c>
      <c r="R38" s="212" t="str">
        <f>IFERROR(INDEX('DATA DUMP'!$A$2:$AD$723, MATCH($B$14,'DATA DUMP'!$A2:$A723, 0), COLUMN()),"")</f>
        <v/>
      </c>
      <c r="S38" s="212" t="str">
        <f>IFERROR(INDEX('DATA DUMP'!$A$2:$AD$723, MATCH($B$14,'DATA DUMP'!$A2:$A723, 0), COLUMN()),"")</f>
        <v/>
      </c>
      <c r="T38" s="212" t="str">
        <f>IFERROR(INDEX('DATA DUMP'!$A$2:$AD$723, MATCH($B$14,'DATA DUMP'!$A2:$A723, 0), COLUMN()),"")</f>
        <v/>
      </c>
      <c r="U38" s="212" t="str">
        <f>IFERROR(INDEX('DATA DUMP'!$A$2:$AD$723, MATCH($B$14,'DATA DUMP'!$A2:$A723, 0), COLUMN()),"")</f>
        <v/>
      </c>
      <c r="V38" s="212" t="str">
        <f>IFERROR(INDEX('DATA DUMP'!$A$2:$AD$723, MATCH($B$14,'DATA DUMP'!$A2:$A723, 0), COLUMN()),"")</f>
        <v/>
      </c>
      <c r="W38" s="212" t="str">
        <f>IFERROR(INDEX('DATA DUMP'!$A$2:$AD$723, MATCH($B$14,'DATA DUMP'!$A2:$A723, 0), COLUMN()),"")</f>
        <v/>
      </c>
      <c r="X38" s="212" t="str">
        <f>IFERROR(INDEX('DATA DUMP'!$A$2:$AD$723, MATCH($B$14,'DATA DUMP'!$A2:$A723, 0), COLUMN()),"")</f>
        <v/>
      </c>
      <c r="Y38" s="212" t="str">
        <f>IFERROR(INDEX('DATA DUMP'!$A$2:$AD$723, MATCH($B$14,'DATA DUMP'!$A2:$A723, 0), COLUMN()),"")</f>
        <v/>
      </c>
      <c r="Z38" s="212" t="str">
        <f>IFERROR(INDEX('DATA DUMP'!$A$2:$AD$723, MATCH($B$14,'DATA DUMP'!$A2:$A723, 0), COLUMN()),"")</f>
        <v/>
      </c>
      <c r="AA38" s="212" t="str">
        <f>IFERROR(INDEX('DATA DUMP'!$A$2:$AD$723, MATCH($B$14,'DATA DUMP'!$A2:$A723, 0), COLUMN()),"")</f>
        <v/>
      </c>
      <c r="AB38" s="212" t="str">
        <f>IFERROR(INDEX('DATA DUMP'!$A$2:$AD$723, MATCH($B$14,'DATA DUMP'!$A2:$A723, 0), COLUMN()),"")</f>
        <v/>
      </c>
      <c r="AC38" s="212" t="str">
        <f>IFERROR(INDEX('DATA DUMP'!$A$2:$AD$723, MATCH($B$14,'DATA DUMP'!$A2:$A723, 0), COLUMN()),"")</f>
        <v/>
      </c>
      <c r="AD38" s="212" t="str">
        <f>IFERROR(INDEX('DATA DUMP'!$A$2:$AD$723, MATCH($B$14,'DATA DUMP'!$A2:$A723, 0), COLUMN()),"")</f>
        <v/>
      </c>
    </row>
    <row r="39" spans="1:30" s="212" customFormat="1" x14ac:dyDescent="0.3">
      <c r="A39" s="212" t="str">
        <f>IFERROR(INDEX('DATA DUMP'!$A$2:$AD$723, MATCH($B$15,'DATA DUMP'!$A2:$A723, 0), COLUMN()),"")</f>
        <v/>
      </c>
      <c r="B39" s="212" t="str">
        <f>IFERROR(INDEX('DATA DUMP'!$A$2:$AD$723, MATCH($B$15,'DATA DUMP'!$A2:$A723, 0), COLUMN()),"")</f>
        <v/>
      </c>
      <c r="C39" s="212" t="str">
        <f>IFERROR(INDEX('DATA DUMP'!$A$2:$AD$723, MATCH($B$15,'DATA DUMP'!$A2:$A723, 0), COLUMN()),"")</f>
        <v/>
      </c>
      <c r="D39" s="212" t="str">
        <f>IFERROR(INDEX('DATA DUMP'!$A$2:$AD$723, MATCH($B$15,'DATA DUMP'!$A2:$A723, 0), COLUMN()),"")</f>
        <v/>
      </c>
      <c r="E39" s="212" t="str">
        <f>IFERROR(INDEX('DATA DUMP'!$A$2:$AD$723, MATCH($B$15,'DATA DUMP'!$A2:$A723, 0), COLUMN()),"")</f>
        <v/>
      </c>
      <c r="F39" s="212" t="str">
        <f>IFERROR(INDEX('DATA DUMP'!$A$2:$AD$723, MATCH($B$15,'DATA DUMP'!$A2:$A723, 0), COLUMN()),"")</f>
        <v/>
      </c>
      <c r="G39" s="212" t="str">
        <f>IFERROR(INDEX('DATA DUMP'!$A$2:$AD$723, MATCH($B$15,'DATA DUMP'!$A2:$A723, 0), COLUMN()),"")</f>
        <v/>
      </c>
      <c r="H39" s="212" t="str">
        <f>IFERROR(INDEX('DATA DUMP'!$A$2:$AD$723, MATCH($B$15,'DATA DUMP'!$A2:$A723, 0), COLUMN()),"")</f>
        <v/>
      </c>
      <c r="I39" s="212" t="str">
        <f>IFERROR(INDEX('DATA DUMP'!$A$2:$AD$723, MATCH($B$15,'DATA DUMP'!$A2:$A723, 0), COLUMN()),"")</f>
        <v/>
      </c>
      <c r="J39" s="212" t="str">
        <f>IFERROR(INDEX('DATA DUMP'!$A$2:$AD$723, MATCH($B$15,'DATA DUMP'!$A2:$A723, 0), COLUMN()),"")</f>
        <v/>
      </c>
      <c r="K39" s="212" t="str">
        <f>IFERROR(INDEX('DATA DUMP'!$A$2:$AD$723, MATCH($B$15,'DATA DUMP'!$A2:$A723, 0), COLUMN()),"")</f>
        <v/>
      </c>
      <c r="L39" s="212" t="str">
        <f>IFERROR(INDEX('DATA DUMP'!$A$2:$AD$723, MATCH($B$15,'DATA DUMP'!$A2:$A723, 0), COLUMN()),"")</f>
        <v/>
      </c>
      <c r="M39" s="212" t="str">
        <f>IFERROR(INDEX('DATA DUMP'!$A$2:$AD$723, MATCH($B$15,'DATA DUMP'!$A2:$A723, 0), COLUMN()),"")</f>
        <v/>
      </c>
      <c r="N39" s="212" t="str">
        <f>IFERROR(INDEX('DATA DUMP'!$A$2:$AD$723, MATCH($B$15,'DATA DUMP'!$A2:$A723, 0), COLUMN()),"")</f>
        <v/>
      </c>
      <c r="O39" s="212" t="str">
        <f>IFERROR(INDEX('DATA DUMP'!$A$2:$AD$723, MATCH($B$15,'DATA DUMP'!$A2:$A723, 0), COLUMN()),"")</f>
        <v/>
      </c>
      <c r="P39" s="212" t="str">
        <f>IFERROR(INDEX('DATA DUMP'!$A$2:$AD$723, MATCH($B$15,'DATA DUMP'!$A2:$A723, 0), COLUMN()),"")</f>
        <v/>
      </c>
      <c r="Q39" s="212" t="str">
        <f>IFERROR(INDEX('DATA DUMP'!$A$2:$AD$723, MATCH($B$15,'DATA DUMP'!$A2:$A723, 0), COLUMN()),"")</f>
        <v/>
      </c>
      <c r="R39" s="212" t="str">
        <f>IFERROR(INDEX('DATA DUMP'!$A$2:$AD$723, MATCH($B$15,'DATA DUMP'!$A2:$A723, 0), COLUMN()),"")</f>
        <v/>
      </c>
      <c r="S39" s="212" t="str">
        <f>IFERROR(INDEX('DATA DUMP'!$A$2:$AD$723, MATCH($B$15,'DATA DUMP'!$A2:$A723, 0), COLUMN()),"")</f>
        <v/>
      </c>
      <c r="T39" s="212" t="str">
        <f>IFERROR(INDEX('DATA DUMP'!$A$2:$AD$723, MATCH($B$15,'DATA DUMP'!$A2:$A723, 0), COLUMN()),"")</f>
        <v/>
      </c>
      <c r="U39" s="212" t="str">
        <f>IFERROR(INDEX('DATA DUMP'!$A$2:$AD$723, MATCH($B$15,'DATA DUMP'!$A2:$A723, 0), COLUMN()),"")</f>
        <v/>
      </c>
      <c r="V39" s="212" t="str">
        <f>IFERROR(INDEX('DATA DUMP'!$A$2:$AD$723, MATCH($B$15,'DATA DUMP'!$A2:$A723, 0), COLUMN()),"")</f>
        <v/>
      </c>
      <c r="W39" s="212" t="str">
        <f>IFERROR(INDEX('DATA DUMP'!$A$2:$AD$723, MATCH($B$15,'DATA DUMP'!$A2:$A723, 0), COLUMN()),"")</f>
        <v/>
      </c>
      <c r="X39" s="212" t="str">
        <f>IFERROR(INDEX('DATA DUMP'!$A$2:$AD$723, MATCH($B$15,'DATA DUMP'!$A2:$A723, 0), COLUMN()),"")</f>
        <v/>
      </c>
      <c r="Y39" s="212" t="str">
        <f>IFERROR(INDEX('DATA DUMP'!$A$2:$AD$723, MATCH($B$15,'DATA DUMP'!$A2:$A723, 0), COLUMN()),"")</f>
        <v/>
      </c>
      <c r="Z39" s="212" t="str">
        <f>IFERROR(INDEX('DATA DUMP'!$A$2:$AD$723, MATCH($B$15,'DATA DUMP'!$A2:$A723, 0), COLUMN()),"")</f>
        <v/>
      </c>
      <c r="AA39" s="212" t="str">
        <f>IFERROR(INDEX('DATA DUMP'!$A$2:$AD$723, MATCH($B$15,'DATA DUMP'!$A2:$A723, 0), COLUMN()),"")</f>
        <v/>
      </c>
      <c r="AB39" s="212" t="str">
        <f>IFERROR(INDEX('DATA DUMP'!$A$2:$AD$723, MATCH($B$15,'DATA DUMP'!$A2:$A723, 0), COLUMN()),"")</f>
        <v/>
      </c>
      <c r="AC39" s="212" t="str">
        <f>IFERROR(INDEX('DATA DUMP'!$A$2:$AD$723, MATCH($B$15,'DATA DUMP'!$A2:$A723, 0), COLUMN()),"")</f>
        <v/>
      </c>
      <c r="AD39" s="212" t="str">
        <f>IFERROR(INDEX('DATA DUMP'!$A$2:$AD$723, MATCH($B$15,'DATA DUMP'!$A2:$A723, 0), COLUMN()),"")</f>
        <v/>
      </c>
    </row>
    <row r="40" spans="1:30" s="212" customFormat="1" x14ac:dyDescent="0.3">
      <c r="A40" s="212" t="str">
        <f>IFERROR(INDEX('DATA DUMP'!$A$2:$AD$723, MATCH($B$16,'DATA DUMP'!$A2:$A723, 0), COLUMN()),"")</f>
        <v/>
      </c>
      <c r="B40" s="212" t="str">
        <f>IFERROR(INDEX('DATA DUMP'!$A$2:$AD$723, MATCH($B$16,'DATA DUMP'!$A2:$A723, 0), COLUMN()),"")</f>
        <v/>
      </c>
      <c r="C40" s="212" t="str">
        <f>IFERROR(INDEX('DATA DUMP'!$A$2:$AD$723, MATCH($B$16,'DATA DUMP'!$A2:$A723, 0), COLUMN()),"")</f>
        <v/>
      </c>
      <c r="D40" s="212" t="str">
        <f>IFERROR(INDEX('DATA DUMP'!$A$2:$AD$723, MATCH($B$16,'DATA DUMP'!$A2:$A723, 0), COLUMN()),"")</f>
        <v/>
      </c>
      <c r="E40" s="212" t="str">
        <f>IFERROR(INDEX('DATA DUMP'!$A$2:$AD$723, MATCH($B$16,'DATA DUMP'!$A2:$A723, 0), COLUMN()),"")</f>
        <v/>
      </c>
      <c r="F40" s="212" t="str">
        <f>IFERROR(INDEX('DATA DUMP'!$A$2:$AD$723, MATCH($B$16,'DATA DUMP'!$A2:$A723, 0), COLUMN()),"")</f>
        <v/>
      </c>
      <c r="G40" s="212" t="str">
        <f>IFERROR(INDEX('DATA DUMP'!$A$2:$AD$723, MATCH($B$16,'DATA DUMP'!$A2:$A723, 0), COLUMN()),"")</f>
        <v/>
      </c>
      <c r="H40" s="212" t="str">
        <f>IFERROR(INDEX('DATA DUMP'!$A$2:$AD$723, MATCH($B$16,'DATA DUMP'!$A2:$A723, 0), COLUMN()),"")</f>
        <v/>
      </c>
      <c r="I40" s="212" t="str">
        <f>IFERROR(INDEX('DATA DUMP'!$A$2:$AD$723, MATCH($B$16,'DATA DUMP'!$A2:$A723, 0), COLUMN()),"")</f>
        <v/>
      </c>
      <c r="J40" s="212" t="str">
        <f>IFERROR(INDEX('DATA DUMP'!$A$2:$AD$723, MATCH($B$16,'DATA DUMP'!$A2:$A723, 0), COLUMN()),"")</f>
        <v/>
      </c>
      <c r="K40" s="212" t="str">
        <f>IFERROR(INDEX('DATA DUMP'!$A$2:$AD$723, MATCH($B$16,'DATA DUMP'!$A2:$A723, 0), COLUMN()),"")</f>
        <v/>
      </c>
      <c r="L40" s="212" t="str">
        <f>IFERROR(INDEX('DATA DUMP'!$A$2:$AD$723, MATCH($B$16,'DATA DUMP'!$A2:$A723, 0), COLUMN()),"")</f>
        <v/>
      </c>
      <c r="M40" s="212" t="str">
        <f>IFERROR(INDEX('DATA DUMP'!$A$2:$AD$723, MATCH($B$16,'DATA DUMP'!$A2:$A723, 0), COLUMN()),"")</f>
        <v/>
      </c>
      <c r="N40" s="212" t="str">
        <f>IFERROR(INDEX('DATA DUMP'!$A$2:$AD$723, MATCH($B$16,'DATA DUMP'!$A2:$A723, 0), COLUMN()),"")</f>
        <v/>
      </c>
      <c r="O40" s="212" t="str">
        <f>IFERROR(INDEX('DATA DUMP'!$A$2:$AD$723, MATCH($B$16,'DATA DUMP'!$A2:$A723, 0), COLUMN()),"")</f>
        <v/>
      </c>
      <c r="P40" s="212" t="str">
        <f>IFERROR(INDEX('DATA DUMP'!$A$2:$AD$723, MATCH($B$16,'DATA DUMP'!$A2:$A723, 0), COLUMN()),"")</f>
        <v/>
      </c>
      <c r="Q40" s="212" t="str">
        <f>IFERROR(INDEX('DATA DUMP'!$A$2:$AD$723, MATCH($B$16,'DATA DUMP'!$A2:$A723, 0), COLUMN()),"")</f>
        <v/>
      </c>
      <c r="R40" s="212" t="str">
        <f>IFERROR(INDEX('DATA DUMP'!$A$2:$AD$723, MATCH($B$16,'DATA DUMP'!$A2:$A723, 0), COLUMN()),"")</f>
        <v/>
      </c>
      <c r="S40" s="212" t="str">
        <f>IFERROR(INDEX('DATA DUMP'!$A$2:$AD$723, MATCH($B$16,'DATA DUMP'!$A2:$A723, 0), COLUMN()),"")</f>
        <v/>
      </c>
      <c r="T40" s="212" t="str">
        <f>IFERROR(INDEX('DATA DUMP'!$A$2:$AD$723, MATCH($B$16,'DATA DUMP'!$A2:$A723, 0), COLUMN()),"")</f>
        <v/>
      </c>
      <c r="U40" s="212" t="str">
        <f>IFERROR(INDEX('DATA DUMP'!$A$2:$AD$723, MATCH($B$16,'DATA DUMP'!$A2:$A723, 0), COLUMN()),"")</f>
        <v/>
      </c>
      <c r="V40" s="212" t="str">
        <f>IFERROR(INDEX('DATA DUMP'!$A$2:$AD$723, MATCH($B$16,'DATA DUMP'!$A2:$A723, 0), COLUMN()),"")</f>
        <v/>
      </c>
      <c r="W40" s="212" t="str">
        <f>IFERROR(INDEX('DATA DUMP'!$A$2:$AD$723, MATCH($B$16,'DATA DUMP'!$A2:$A723, 0), COLUMN()),"")</f>
        <v/>
      </c>
      <c r="X40" s="212" t="str">
        <f>IFERROR(INDEX('DATA DUMP'!$A$2:$AD$723, MATCH($B$16,'DATA DUMP'!$A2:$A723, 0), COLUMN()),"")</f>
        <v/>
      </c>
      <c r="Y40" s="212" t="str">
        <f>IFERROR(INDEX('DATA DUMP'!$A$2:$AD$723, MATCH($B$16,'DATA DUMP'!$A2:$A723, 0), COLUMN()),"")</f>
        <v/>
      </c>
      <c r="Z40" s="212" t="str">
        <f>IFERROR(INDEX('DATA DUMP'!$A$2:$AD$723, MATCH($B$16,'DATA DUMP'!$A2:$A723, 0), COLUMN()),"")</f>
        <v/>
      </c>
      <c r="AA40" s="212" t="str">
        <f>IFERROR(INDEX('DATA DUMP'!$A$2:$AD$723, MATCH($B$16,'DATA DUMP'!$A2:$A723, 0), COLUMN()),"")</f>
        <v/>
      </c>
      <c r="AB40" s="212" t="str">
        <f>IFERROR(INDEX('DATA DUMP'!$A$2:$AD$723, MATCH($B$16,'DATA DUMP'!$A2:$A723, 0), COLUMN()),"")</f>
        <v/>
      </c>
      <c r="AC40" s="212" t="str">
        <f>IFERROR(INDEX('DATA DUMP'!$A$2:$AD$723, MATCH($B$16,'DATA DUMP'!$A2:$A723, 0), COLUMN()),"")</f>
        <v/>
      </c>
      <c r="AD40" s="212" t="str">
        <f>IFERROR(INDEX('DATA DUMP'!$A$2:$AD$723, MATCH($B$16,'DATA DUMP'!$A2:$A723, 0), COLUMN()),"")</f>
        <v/>
      </c>
    </row>
    <row r="41" spans="1:30" s="212" customFormat="1" x14ac:dyDescent="0.3">
      <c r="A41" s="212" t="str">
        <f>IFERROR(INDEX('DATA DUMP'!$A$2:$AD$723, MATCH($B$17,'DATA DUMP'!$A2:$A723, 0), COLUMN()),"")</f>
        <v/>
      </c>
      <c r="B41" s="212" t="str">
        <f>IFERROR(INDEX('DATA DUMP'!$A$2:$AD$723, MATCH($B$17,'DATA DUMP'!$A2:$A723, 0), COLUMN()),"")</f>
        <v/>
      </c>
      <c r="C41" s="212" t="str">
        <f>IFERROR(INDEX('DATA DUMP'!$A$2:$AD$723, MATCH($B$17,'DATA DUMP'!$A2:$A723, 0), COLUMN()),"")</f>
        <v/>
      </c>
      <c r="D41" s="212" t="str">
        <f>IFERROR(INDEX('DATA DUMP'!$A$2:$AD$723, MATCH($B$17,'DATA DUMP'!$A2:$A723, 0), COLUMN()),"")</f>
        <v/>
      </c>
      <c r="E41" s="212" t="str">
        <f>IFERROR(INDEX('DATA DUMP'!$A$2:$AD$723, MATCH($B$17,'DATA DUMP'!$A2:$A723, 0), COLUMN()),"")</f>
        <v/>
      </c>
      <c r="F41" s="212" t="str">
        <f>IFERROR(INDEX('DATA DUMP'!$A$2:$AD$723, MATCH($B$17,'DATA DUMP'!$A2:$A723, 0), COLUMN()),"")</f>
        <v/>
      </c>
      <c r="G41" s="212" t="str">
        <f>IFERROR(INDEX('DATA DUMP'!$A$2:$AD$723, MATCH($B$17,'DATA DUMP'!$A2:$A723, 0), COLUMN()),"")</f>
        <v/>
      </c>
      <c r="H41" s="212" t="str">
        <f>IFERROR(INDEX('DATA DUMP'!$A$2:$AD$723, MATCH($B$17,'DATA DUMP'!$A2:$A723, 0), COLUMN()),"")</f>
        <v/>
      </c>
      <c r="I41" s="212" t="str">
        <f>IFERROR(INDEX('DATA DUMP'!$A$2:$AD$723, MATCH($B$17,'DATA DUMP'!$A2:$A723, 0), COLUMN()),"")</f>
        <v/>
      </c>
      <c r="J41" s="212" t="str">
        <f>IFERROR(INDEX('DATA DUMP'!$A$2:$AD$723, MATCH($B$17,'DATA DUMP'!$A2:$A723, 0), COLUMN()),"")</f>
        <v/>
      </c>
      <c r="K41" s="212" t="str">
        <f>IFERROR(INDEX('DATA DUMP'!$A$2:$AD$723, MATCH($B$17,'DATA DUMP'!$A2:$A723, 0), COLUMN()),"")</f>
        <v/>
      </c>
      <c r="L41" s="212" t="str">
        <f>IFERROR(INDEX('DATA DUMP'!$A$2:$AD$723, MATCH($B$17,'DATA DUMP'!$A2:$A723, 0), COLUMN()),"")</f>
        <v/>
      </c>
      <c r="M41" s="212" t="str">
        <f>IFERROR(INDEX('DATA DUMP'!$A$2:$AD$723, MATCH($B$17,'DATA DUMP'!$A2:$A723, 0), COLUMN()),"")</f>
        <v/>
      </c>
      <c r="N41" s="212" t="str">
        <f>IFERROR(INDEX('DATA DUMP'!$A$2:$AD$723, MATCH($B$17,'DATA DUMP'!$A2:$A723, 0), COLUMN()),"")</f>
        <v/>
      </c>
      <c r="O41" s="212" t="str">
        <f>IFERROR(INDEX('DATA DUMP'!$A$2:$AD$723, MATCH($B$17,'DATA DUMP'!$A2:$A723, 0), COLUMN()),"")</f>
        <v/>
      </c>
      <c r="P41" s="212" t="str">
        <f>IFERROR(INDEX('DATA DUMP'!$A$2:$AD$723, MATCH($B$17,'DATA DUMP'!$A2:$A723, 0), COLUMN()),"")</f>
        <v/>
      </c>
      <c r="Q41" s="212" t="str">
        <f>IFERROR(INDEX('DATA DUMP'!$A$2:$AD$723, MATCH($B$17,'DATA DUMP'!$A2:$A723, 0), COLUMN()),"")</f>
        <v/>
      </c>
      <c r="R41" s="212" t="str">
        <f>IFERROR(INDEX('DATA DUMP'!$A$2:$AD$723, MATCH($B$17,'DATA DUMP'!$A2:$A723, 0), COLUMN()),"")</f>
        <v/>
      </c>
      <c r="S41" s="212" t="str">
        <f>IFERROR(INDEX('DATA DUMP'!$A$2:$AD$723, MATCH($B$17,'DATA DUMP'!$A2:$A723, 0), COLUMN()),"")</f>
        <v/>
      </c>
      <c r="T41" s="212" t="str">
        <f>IFERROR(INDEX('DATA DUMP'!$A$2:$AD$723, MATCH($B$17,'DATA DUMP'!$A2:$A723, 0), COLUMN()),"")</f>
        <v/>
      </c>
      <c r="U41" s="212" t="str">
        <f>IFERROR(INDEX('DATA DUMP'!$A$2:$AD$723, MATCH($B$17,'DATA DUMP'!$A2:$A723, 0), COLUMN()),"")</f>
        <v/>
      </c>
      <c r="V41" s="212" t="str">
        <f>IFERROR(INDEX('DATA DUMP'!$A$2:$AD$723, MATCH($B$17,'DATA DUMP'!$A2:$A723, 0), COLUMN()),"")</f>
        <v/>
      </c>
      <c r="W41" s="212" t="str">
        <f>IFERROR(INDEX('DATA DUMP'!$A$2:$AD$723, MATCH($B$17,'DATA DUMP'!$A2:$A723, 0), COLUMN()),"")</f>
        <v/>
      </c>
      <c r="X41" s="212" t="str">
        <f>IFERROR(INDEX('DATA DUMP'!$A$2:$AD$723, MATCH($B$17,'DATA DUMP'!$A2:$A723, 0), COLUMN()),"")</f>
        <v/>
      </c>
      <c r="Y41" s="212" t="str">
        <f>IFERROR(INDEX('DATA DUMP'!$A$2:$AD$723, MATCH($B$17,'DATA DUMP'!$A2:$A723, 0), COLUMN()),"")</f>
        <v/>
      </c>
      <c r="Z41" s="212" t="str">
        <f>IFERROR(INDEX('DATA DUMP'!$A$2:$AD$723, MATCH($B$17,'DATA DUMP'!$A2:$A723, 0), COLUMN()),"")</f>
        <v/>
      </c>
      <c r="AA41" s="212" t="str">
        <f>IFERROR(INDEX('DATA DUMP'!$A$2:$AD$723, MATCH($B$17,'DATA DUMP'!$A2:$A723, 0), COLUMN()),"")</f>
        <v/>
      </c>
      <c r="AB41" s="212" t="str">
        <f>IFERROR(INDEX('DATA DUMP'!$A$2:$AD$723, MATCH($B$17,'DATA DUMP'!$A2:$A723, 0), COLUMN()),"")</f>
        <v/>
      </c>
      <c r="AC41" s="212" t="str">
        <f>IFERROR(INDEX('DATA DUMP'!$A$2:$AD$723, MATCH($B$17,'DATA DUMP'!$A2:$A723, 0), COLUMN()),"")</f>
        <v/>
      </c>
      <c r="AD41" s="212" t="str">
        <f>IFERROR(INDEX('DATA DUMP'!$A$2:$AD$723, MATCH($B$17,'DATA DUMP'!$A2:$A723, 0), COLUMN()),"")</f>
        <v/>
      </c>
    </row>
    <row r="42" spans="1:30" s="212" customFormat="1" x14ac:dyDescent="0.3">
      <c r="A42" s="212" t="str">
        <f>IFERROR(INDEX('DATA DUMP'!$A$2:$AD$723, MATCH($B$18,'DATA DUMP'!$A2:$A723, 0), COLUMN()),"")</f>
        <v/>
      </c>
      <c r="B42" s="212" t="str">
        <f>IFERROR(INDEX('DATA DUMP'!$A$2:$AD$723, MATCH($B$18,'DATA DUMP'!$A2:$A723, 0), COLUMN()),"")</f>
        <v/>
      </c>
      <c r="C42" s="212" t="str">
        <f>IFERROR(INDEX('DATA DUMP'!$A$2:$AD$723, MATCH($B$18,'DATA DUMP'!$A2:$A723, 0), COLUMN()),"")</f>
        <v/>
      </c>
      <c r="D42" s="212" t="str">
        <f>IFERROR(INDEX('DATA DUMP'!$A$2:$AD$723, MATCH($B$18,'DATA DUMP'!$A2:$A723, 0), COLUMN()),"")</f>
        <v/>
      </c>
      <c r="E42" s="212" t="str">
        <f>IFERROR(INDEX('DATA DUMP'!$A$2:$AD$723, MATCH($B$18,'DATA DUMP'!$A2:$A723, 0), COLUMN()),"")</f>
        <v/>
      </c>
      <c r="F42" s="212" t="str">
        <f>IFERROR(INDEX('DATA DUMP'!$A$2:$AD$723, MATCH($B$18,'DATA DUMP'!$A2:$A723, 0), COLUMN()),"")</f>
        <v/>
      </c>
      <c r="G42" s="212" t="str">
        <f>IFERROR(INDEX('DATA DUMP'!$A$2:$AD$723, MATCH($B$18,'DATA DUMP'!$A2:$A723, 0), COLUMN()),"")</f>
        <v/>
      </c>
      <c r="H42" s="212" t="str">
        <f>IFERROR(INDEX('DATA DUMP'!$A$2:$AD$723, MATCH($B$18,'DATA DUMP'!$A2:$A723, 0), COLUMN()),"")</f>
        <v/>
      </c>
      <c r="I42" s="212" t="str">
        <f>IFERROR(INDEX('DATA DUMP'!$A$2:$AD$723, MATCH($B$18,'DATA DUMP'!$A2:$A723, 0), COLUMN()),"")</f>
        <v/>
      </c>
      <c r="J42" s="212" t="str">
        <f>IFERROR(INDEX('DATA DUMP'!$A$2:$AD$723, MATCH($B$18,'DATA DUMP'!$A2:$A723, 0), COLUMN()),"")</f>
        <v/>
      </c>
      <c r="K42" s="212" t="str">
        <f>IFERROR(INDEX('DATA DUMP'!$A$2:$AD$723, MATCH($B$18,'DATA DUMP'!$A2:$A723, 0), COLUMN()),"")</f>
        <v/>
      </c>
      <c r="L42" s="212" t="str">
        <f>IFERROR(INDEX('DATA DUMP'!$A$2:$AD$723, MATCH($B$18,'DATA DUMP'!$A2:$A723, 0), COLUMN()),"")</f>
        <v/>
      </c>
      <c r="M42" s="212" t="str">
        <f>IFERROR(INDEX('DATA DUMP'!$A$2:$AD$723, MATCH($B$18,'DATA DUMP'!$A2:$A723, 0), COLUMN()),"")</f>
        <v/>
      </c>
      <c r="N42" s="212" t="str">
        <f>IFERROR(INDEX('DATA DUMP'!$A$2:$AD$723, MATCH($B$18,'DATA DUMP'!$A2:$A723, 0), COLUMN()),"")</f>
        <v/>
      </c>
      <c r="O42" s="212" t="str">
        <f>IFERROR(INDEX('DATA DUMP'!$A$2:$AD$723, MATCH($B$18,'DATA DUMP'!$A2:$A723, 0), COLUMN()),"")</f>
        <v/>
      </c>
      <c r="P42" s="212" t="str">
        <f>IFERROR(INDEX('DATA DUMP'!$A$2:$AD$723, MATCH($B$18,'DATA DUMP'!$A2:$A723, 0), COLUMN()),"")</f>
        <v/>
      </c>
      <c r="Q42" s="212" t="str">
        <f>IFERROR(INDEX('DATA DUMP'!$A$2:$AD$723, MATCH($B$18,'DATA DUMP'!$A2:$A723, 0), COLUMN()),"")</f>
        <v/>
      </c>
      <c r="R42" s="212" t="str">
        <f>IFERROR(INDEX('DATA DUMP'!$A$2:$AD$723, MATCH($B$18,'DATA DUMP'!$A2:$A723, 0), COLUMN()),"")</f>
        <v/>
      </c>
      <c r="S42" s="212" t="str">
        <f>IFERROR(INDEX('DATA DUMP'!$A$2:$AD$723, MATCH($B$18,'DATA DUMP'!$A2:$A723, 0), COLUMN()),"")</f>
        <v/>
      </c>
      <c r="T42" s="212" t="str">
        <f>IFERROR(INDEX('DATA DUMP'!$A$2:$AD$723, MATCH($B$18,'DATA DUMP'!$A2:$A723, 0), COLUMN()),"")</f>
        <v/>
      </c>
      <c r="U42" s="212" t="str">
        <f>IFERROR(INDEX('DATA DUMP'!$A$2:$AD$723, MATCH($B$18,'DATA DUMP'!$A2:$A723, 0), COLUMN()),"")</f>
        <v/>
      </c>
      <c r="V42" s="212" t="str">
        <f>IFERROR(INDEX('DATA DUMP'!$A$2:$AD$723, MATCH($B$18,'DATA DUMP'!$A2:$A723, 0), COLUMN()),"")</f>
        <v/>
      </c>
      <c r="W42" s="212" t="str">
        <f>IFERROR(INDEX('DATA DUMP'!$A$2:$AD$723, MATCH($B$18,'DATA DUMP'!$A2:$A723, 0), COLUMN()),"")</f>
        <v/>
      </c>
      <c r="X42" s="212" t="str">
        <f>IFERROR(INDEX('DATA DUMP'!$A$2:$AD$723, MATCH($B$18,'DATA DUMP'!$A2:$A723, 0), COLUMN()),"")</f>
        <v/>
      </c>
      <c r="Y42" s="212" t="str">
        <f>IFERROR(INDEX('DATA DUMP'!$A$2:$AD$723, MATCH($B$18,'DATA DUMP'!$A2:$A723, 0), COLUMN()),"")</f>
        <v/>
      </c>
      <c r="Z42" s="212" t="str">
        <f>IFERROR(INDEX('DATA DUMP'!$A$2:$AD$723, MATCH($B$18,'DATA DUMP'!$A2:$A723, 0), COLUMN()),"")</f>
        <v/>
      </c>
      <c r="AA42" s="212" t="str">
        <f>IFERROR(INDEX('DATA DUMP'!$A$2:$AD$723, MATCH($B$18,'DATA DUMP'!$A2:$A723, 0), COLUMN()),"")</f>
        <v/>
      </c>
      <c r="AB42" s="212" t="str">
        <f>IFERROR(INDEX('DATA DUMP'!$A$2:$AD$723, MATCH($B$18,'DATA DUMP'!$A2:$A723, 0), COLUMN()),"")</f>
        <v/>
      </c>
      <c r="AC42" s="212" t="str">
        <f>IFERROR(INDEX('DATA DUMP'!$A$2:$AD$723, MATCH($B$18,'DATA DUMP'!$A2:$A723, 0), COLUMN()),"")</f>
        <v/>
      </c>
      <c r="AD42" s="212" t="str">
        <f>IFERROR(INDEX('DATA DUMP'!$A$2:$AD$723, MATCH($B$18,'DATA DUMP'!$A2:$A723, 0), COLUMN()),"")</f>
        <v/>
      </c>
    </row>
    <row r="43" spans="1:30" s="212" customFormat="1" x14ac:dyDescent="0.3">
      <c r="A43" s="212" t="str">
        <f>IFERROR(INDEX('DATA DUMP'!$A$2:$AD$723, MATCH($B$19,'DATA DUMP'!$A2:$A723, 0), COLUMN()),"")</f>
        <v/>
      </c>
      <c r="B43" s="212" t="str">
        <f>IFERROR(INDEX('DATA DUMP'!$A$2:$AD$723, MATCH($B$19,'DATA DUMP'!$A2:$A723, 0), COLUMN()),"")</f>
        <v/>
      </c>
      <c r="C43" s="212" t="str">
        <f>IFERROR(INDEX('DATA DUMP'!$A$2:$AD$723, MATCH($B$19,'DATA DUMP'!$A2:$A723, 0), COLUMN()),"")</f>
        <v/>
      </c>
      <c r="D43" s="212" t="str">
        <f>IFERROR(INDEX('DATA DUMP'!$A$2:$AD$723, MATCH($B$19,'DATA DUMP'!$A2:$A723, 0), COLUMN()),"")</f>
        <v/>
      </c>
      <c r="E43" s="212" t="str">
        <f>IFERROR(INDEX('DATA DUMP'!$A$2:$AD$723, MATCH($B$19,'DATA DUMP'!$A2:$A723, 0), COLUMN()),"")</f>
        <v/>
      </c>
      <c r="F43" s="212" t="str">
        <f>IFERROR(INDEX('DATA DUMP'!$A$2:$AD$723, MATCH($B$19,'DATA DUMP'!$A2:$A723, 0), COLUMN()),"")</f>
        <v/>
      </c>
      <c r="G43" s="212" t="str">
        <f>IFERROR(INDEX('DATA DUMP'!$A$2:$AD$723, MATCH($B$19,'DATA DUMP'!$A2:$A723, 0), COLUMN()),"")</f>
        <v/>
      </c>
      <c r="H43" s="212" t="str">
        <f>IFERROR(INDEX('DATA DUMP'!$A$2:$AD$723, MATCH($B$19,'DATA DUMP'!$A2:$A723, 0), COLUMN()),"")</f>
        <v/>
      </c>
      <c r="I43" s="212" t="str">
        <f>IFERROR(INDEX('DATA DUMP'!$A$2:$AD$723, MATCH($B$19,'DATA DUMP'!$A2:$A723, 0), COLUMN()),"")</f>
        <v/>
      </c>
      <c r="J43" s="212" t="str">
        <f>IFERROR(INDEX('DATA DUMP'!$A$2:$AD$723, MATCH($B$19,'DATA DUMP'!$A2:$A723, 0), COLUMN()),"")</f>
        <v/>
      </c>
      <c r="K43" s="212" t="str">
        <f>IFERROR(INDEX('DATA DUMP'!$A$2:$AD$723, MATCH($B$19,'DATA DUMP'!$A2:$A723, 0), COLUMN()),"")</f>
        <v/>
      </c>
      <c r="L43" s="212" t="str">
        <f>IFERROR(INDEX('DATA DUMP'!$A$2:$AD$723, MATCH($B$19,'DATA DUMP'!$A2:$A723, 0), COLUMN()),"")</f>
        <v/>
      </c>
      <c r="M43" s="212" t="str">
        <f>IFERROR(INDEX('DATA DUMP'!$A$2:$AD$723, MATCH($B$19,'DATA DUMP'!$A2:$A723, 0), COLUMN()),"")</f>
        <v/>
      </c>
      <c r="N43" s="212" t="str">
        <f>IFERROR(INDEX('DATA DUMP'!$A$2:$AD$723, MATCH($B$19,'DATA DUMP'!$A2:$A723, 0), COLUMN()),"")</f>
        <v/>
      </c>
      <c r="O43" s="212" t="str">
        <f>IFERROR(INDEX('DATA DUMP'!$A$2:$AD$723, MATCH($B$19,'DATA DUMP'!$A2:$A723, 0), COLUMN()),"")</f>
        <v/>
      </c>
      <c r="P43" s="212" t="str">
        <f>IFERROR(INDEX('DATA DUMP'!$A$2:$AD$723, MATCH($B$19,'DATA DUMP'!$A2:$A723, 0), COLUMN()),"")</f>
        <v/>
      </c>
      <c r="Q43" s="212" t="str">
        <f>IFERROR(INDEX('DATA DUMP'!$A$2:$AD$723, MATCH($B$19,'DATA DUMP'!$A2:$A723, 0), COLUMN()),"")</f>
        <v/>
      </c>
      <c r="R43" s="212" t="str">
        <f>IFERROR(INDEX('DATA DUMP'!$A$2:$AD$723, MATCH($B$19,'DATA DUMP'!$A2:$A723, 0), COLUMN()),"")</f>
        <v/>
      </c>
      <c r="S43" s="212" t="str">
        <f>IFERROR(INDEX('DATA DUMP'!$A$2:$AD$723, MATCH($B$19,'DATA DUMP'!$A2:$A723, 0), COLUMN()),"")</f>
        <v/>
      </c>
      <c r="T43" s="212" t="str">
        <f>IFERROR(INDEX('DATA DUMP'!$A$2:$AD$723, MATCH($B$19,'DATA DUMP'!$A2:$A723, 0), COLUMN()),"")</f>
        <v/>
      </c>
      <c r="U43" s="212" t="str">
        <f>IFERROR(INDEX('DATA DUMP'!$A$2:$AD$723, MATCH($B$19,'DATA DUMP'!$A2:$A723, 0), COLUMN()),"")</f>
        <v/>
      </c>
      <c r="V43" s="212" t="str">
        <f>IFERROR(INDEX('DATA DUMP'!$A$2:$AD$723, MATCH($B$19,'DATA DUMP'!$A2:$A723, 0), COLUMN()),"")</f>
        <v/>
      </c>
      <c r="W43" s="212" t="str">
        <f>IFERROR(INDEX('DATA DUMP'!$A$2:$AD$723, MATCH($B$19,'DATA DUMP'!$A2:$A723, 0), COLUMN()),"")</f>
        <v/>
      </c>
      <c r="X43" s="212" t="str">
        <f>IFERROR(INDEX('DATA DUMP'!$A$2:$AD$723, MATCH($B$19,'DATA DUMP'!$A2:$A723, 0), COLUMN()),"")</f>
        <v/>
      </c>
      <c r="Y43" s="212" t="str">
        <f>IFERROR(INDEX('DATA DUMP'!$A$2:$AD$723, MATCH($B$19,'DATA DUMP'!$A2:$A723, 0), COLUMN()),"")</f>
        <v/>
      </c>
      <c r="Z43" s="212" t="str">
        <f>IFERROR(INDEX('DATA DUMP'!$A$2:$AD$723, MATCH($B$19,'DATA DUMP'!$A2:$A723, 0), COLUMN()),"")</f>
        <v/>
      </c>
      <c r="AA43" s="212" t="str">
        <f>IFERROR(INDEX('DATA DUMP'!$A$2:$AD$723, MATCH($B$19,'DATA DUMP'!$A2:$A723, 0), COLUMN()),"")</f>
        <v/>
      </c>
      <c r="AB43" s="212" t="str">
        <f>IFERROR(INDEX('DATA DUMP'!$A$2:$AD$723, MATCH($B$19,'DATA DUMP'!$A2:$A723, 0), COLUMN()),"")</f>
        <v/>
      </c>
      <c r="AC43" s="212" t="str">
        <f>IFERROR(INDEX('DATA DUMP'!$A$2:$AD$723, MATCH($B$19,'DATA DUMP'!$A2:$A723, 0), COLUMN()),"")</f>
        <v/>
      </c>
      <c r="AD43" s="212" t="str">
        <f>IFERROR(INDEX('DATA DUMP'!$A$2:$AD$723, MATCH($B$19,'DATA DUMP'!$A2:$A723, 0), COLUMN()),"")</f>
        <v/>
      </c>
    </row>
    <row r="44" spans="1:30" s="212" customFormat="1" x14ac:dyDescent="0.3">
      <c r="A44" s="212" t="str">
        <f>IFERROR(INDEX('DATA DUMP'!$A$2:$AD$723, MATCH($B$20,'DATA DUMP'!$A2:$A723, 0), COLUMN()),"")</f>
        <v/>
      </c>
      <c r="B44" s="212" t="str">
        <f>IFERROR(INDEX('DATA DUMP'!$A$2:$AD$723, MATCH($B$20,'DATA DUMP'!$A2:$A723, 0), COLUMN()),"")</f>
        <v/>
      </c>
      <c r="C44" s="212" t="str">
        <f>IFERROR(INDEX('DATA DUMP'!$A$2:$AD$723, MATCH($B$20,'DATA DUMP'!$A2:$A723, 0), COLUMN()),"")</f>
        <v/>
      </c>
      <c r="D44" s="212" t="str">
        <f>IFERROR(INDEX('DATA DUMP'!$A$2:$AD$723, MATCH($B$20,'DATA DUMP'!$A2:$A723, 0), COLUMN()),"")</f>
        <v/>
      </c>
      <c r="E44" s="212" t="str">
        <f>IFERROR(INDEX('DATA DUMP'!$A$2:$AD$723, MATCH($B$20,'DATA DUMP'!$A2:$A723, 0), COLUMN()),"")</f>
        <v/>
      </c>
      <c r="F44" s="212" t="str">
        <f>IFERROR(INDEX('DATA DUMP'!$A$2:$AD$723, MATCH($B$20,'DATA DUMP'!$A2:$A723, 0), COLUMN()),"")</f>
        <v/>
      </c>
      <c r="G44" s="212" t="str">
        <f>IFERROR(INDEX('DATA DUMP'!$A$2:$AD$723, MATCH($B$20,'DATA DUMP'!$A2:$A723, 0), COLUMN()),"")</f>
        <v/>
      </c>
      <c r="H44" s="212" t="str">
        <f>IFERROR(INDEX('DATA DUMP'!$A$2:$AD$723, MATCH($B$20,'DATA DUMP'!$A2:$A723, 0), COLUMN()),"")</f>
        <v/>
      </c>
      <c r="I44" s="212" t="str">
        <f>IFERROR(INDEX('DATA DUMP'!$A$2:$AD$723, MATCH($B$20,'DATA DUMP'!$A2:$A723, 0), COLUMN()),"")</f>
        <v/>
      </c>
      <c r="J44" s="212" t="str">
        <f>IFERROR(INDEX('DATA DUMP'!$A$2:$AD$723, MATCH($B$20,'DATA DUMP'!$A2:$A723, 0), COLUMN()),"")</f>
        <v/>
      </c>
      <c r="K44" s="212" t="str">
        <f>IFERROR(INDEX('DATA DUMP'!$A$2:$AD$723, MATCH($B$20,'DATA DUMP'!$A2:$A723, 0), COLUMN()),"")</f>
        <v/>
      </c>
      <c r="L44" s="212" t="str">
        <f>IFERROR(INDEX('DATA DUMP'!$A$2:$AD$723, MATCH($B$20,'DATA DUMP'!$A2:$A723, 0), COLUMN()),"")</f>
        <v/>
      </c>
      <c r="M44" s="212" t="str">
        <f>IFERROR(INDEX('DATA DUMP'!$A$2:$AD$723, MATCH($B$20,'DATA DUMP'!$A2:$A723, 0), COLUMN()),"")</f>
        <v/>
      </c>
      <c r="N44" s="212" t="str">
        <f>IFERROR(INDEX('DATA DUMP'!$A$2:$AD$723, MATCH($B$20,'DATA DUMP'!$A2:$A723, 0), COLUMN()),"")</f>
        <v/>
      </c>
      <c r="O44" s="212" t="str">
        <f>IFERROR(INDEX('DATA DUMP'!$A$2:$AD$723, MATCH($B$20,'DATA DUMP'!$A2:$A723, 0), COLUMN()),"")</f>
        <v/>
      </c>
      <c r="P44" s="212" t="str">
        <f>IFERROR(INDEX('DATA DUMP'!$A$2:$AD$723, MATCH($B$20,'DATA DUMP'!$A2:$A723, 0), COLUMN()),"")</f>
        <v/>
      </c>
      <c r="Q44" s="212" t="str">
        <f>IFERROR(INDEX('DATA DUMP'!$A$2:$AD$723, MATCH($B$20,'DATA DUMP'!$A2:$A723, 0), COLUMN()),"")</f>
        <v/>
      </c>
      <c r="R44" s="212" t="str">
        <f>IFERROR(INDEX('DATA DUMP'!$A$2:$AD$723, MATCH($B$20,'DATA DUMP'!$A2:$A723, 0), COLUMN()),"")</f>
        <v/>
      </c>
      <c r="S44" s="212" t="str">
        <f>IFERROR(INDEX('DATA DUMP'!$A$2:$AD$723, MATCH($B$20,'DATA DUMP'!$A2:$A723, 0), COLUMN()),"")</f>
        <v/>
      </c>
      <c r="T44" s="212" t="str">
        <f>IFERROR(INDEX('DATA DUMP'!$A$2:$AD$723, MATCH($B$20,'DATA DUMP'!$A2:$A723, 0), COLUMN()),"")</f>
        <v/>
      </c>
      <c r="U44" s="212" t="str">
        <f>IFERROR(INDEX('DATA DUMP'!$A$2:$AD$723, MATCH($B$20,'DATA DUMP'!$A2:$A723, 0), COLUMN()),"")</f>
        <v/>
      </c>
      <c r="V44" s="212" t="str">
        <f>IFERROR(INDEX('DATA DUMP'!$A$2:$AD$723, MATCH($B$20,'DATA DUMP'!$A2:$A723, 0), COLUMN()),"")</f>
        <v/>
      </c>
      <c r="W44" s="212" t="str">
        <f>IFERROR(INDEX('DATA DUMP'!$A$2:$AD$723, MATCH($B$20,'DATA DUMP'!$A2:$A723, 0), COLUMN()),"")</f>
        <v/>
      </c>
      <c r="X44" s="212" t="str">
        <f>IFERROR(INDEX('DATA DUMP'!$A$2:$AD$723, MATCH($B$20,'DATA DUMP'!$A2:$A723, 0), COLUMN()),"")</f>
        <v/>
      </c>
      <c r="Y44" s="212" t="str">
        <f>IFERROR(INDEX('DATA DUMP'!$A$2:$AD$723, MATCH($B$20,'DATA DUMP'!$A2:$A723, 0), COLUMN()),"")</f>
        <v/>
      </c>
      <c r="Z44" s="212" t="str">
        <f>IFERROR(INDEX('DATA DUMP'!$A$2:$AD$723, MATCH($B$20,'DATA DUMP'!$A2:$A723, 0), COLUMN()),"")</f>
        <v/>
      </c>
      <c r="AA44" s="212" t="str">
        <f>IFERROR(INDEX('DATA DUMP'!$A$2:$AD$723, MATCH($B$20,'DATA DUMP'!$A2:$A723, 0), COLUMN()),"")</f>
        <v/>
      </c>
      <c r="AB44" s="212" t="str">
        <f>IFERROR(INDEX('DATA DUMP'!$A$2:$AD$723, MATCH($B$20,'DATA DUMP'!$A2:$A723, 0), COLUMN()),"")</f>
        <v/>
      </c>
      <c r="AC44" s="212" t="str">
        <f>IFERROR(INDEX('DATA DUMP'!$A$2:$AD$723, MATCH($B$20,'DATA DUMP'!$A2:$A723, 0), COLUMN()),"")</f>
        <v/>
      </c>
      <c r="AD44" s="212" t="str">
        <f>IFERROR(INDEX('DATA DUMP'!$A$2:$AD$723, MATCH($B$20,'DATA DUMP'!$A2:$A723, 0), COLUMN()),"")</f>
        <v/>
      </c>
    </row>
    <row r="45" spans="1:30" s="212" customFormat="1" x14ac:dyDescent="0.3">
      <c r="A45" s="212" t="str">
        <f>IFERROR(INDEX('DATA DUMP'!$A$2:$AD$723, MATCH($B$21,'DATA DUMP'!$A2:$A723, 0), COLUMN()),"")</f>
        <v/>
      </c>
      <c r="B45" s="212" t="str">
        <f>IFERROR(INDEX('DATA DUMP'!$A$2:$AD$723, MATCH($B$21,'DATA DUMP'!$A2:$A723, 0), COLUMN()),"")</f>
        <v/>
      </c>
      <c r="C45" s="212" t="str">
        <f>IFERROR(INDEX('DATA DUMP'!$A$2:$AD$723, MATCH($B$21,'DATA DUMP'!$A2:$A723, 0), COLUMN()),"")</f>
        <v/>
      </c>
      <c r="D45" s="212" t="str">
        <f>IFERROR(INDEX('DATA DUMP'!$A$2:$AD$723, MATCH($B$21,'DATA DUMP'!$A2:$A723, 0), COLUMN()),"")</f>
        <v/>
      </c>
      <c r="E45" s="212" t="str">
        <f>IFERROR(INDEX('DATA DUMP'!$A$2:$AD$723, MATCH($B$21,'DATA DUMP'!$A2:$A723, 0), COLUMN()),"")</f>
        <v/>
      </c>
      <c r="F45" s="212" t="str">
        <f>IFERROR(INDEX('DATA DUMP'!$A$2:$AD$723, MATCH($B$21,'DATA DUMP'!$A2:$A723, 0), COLUMN()),"")</f>
        <v/>
      </c>
      <c r="G45" s="212" t="str">
        <f>IFERROR(INDEX('DATA DUMP'!$A$2:$AD$723, MATCH($B$21,'DATA DUMP'!$A2:$A723, 0), COLUMN()),"")</f>
        <v/>
      </c>
      <c r="H45" s="212" t="str">
        <f>IFERROR(INDEX('DATA DUMP'!$A$2:$AD$723, MATCH($B$21,'DATA DUMP'!$A2:$A723, 0), COLUMN()),"")</f>
        <v/>
      </c>
      <c r="I45" s="212" t="str">
        <f>IFERROR(INDEX('DATA DUMP'!$A$2:$AD$723, MATCH($B$21,'DATA DUMP'!$A2:$A723, 0), COLUMN()),"")</f>
        <v/>
      </c>
      <c r="J45" s="212" t="str">
        <f>IFERROR(INDEX('DATA DUMP'!$A$2:$AD$723, MATCH($B$21,'DATA DUMP'!$A2:$A723, 0), COLUMN()),"")</f>
        <v/>
      </c>
      <c r="K45" s="212" t="str">
        <f>IFERROR(INDEX('DATA DUMP'!$A$2:$AD$723, MATCH($B$21,'DATA DUMP'!$A2:$A723, 0), COLUMN()),"")</f>
        <v/>
      </c>
      <c r="L45" s="212" t="str">
        <f>IFERROR(INDEX('DATA DUMP'!$A$2:$AD$723, MATCH($B$21,'DATA DUMP'!$A2:$A723, 0), COLUMN()),"")</f>
        <v/>
      </c>
      <c r="M45" s="212" t="str">
        <f>IFERROR(INDEX('DATA DUMP'!$A$2:$AD$723, MATCH($B$21,'DATA DUMP'!$A2:$A723, 0), COLUMN()),"")</f>
        <v/>
      </c>
      <c r="N45" s="212" t="str">
        <f>IFERROR(INDEX('DATA DUMP'!$A$2:$AD$723, MATCH($B$21,'DATA DUMP'!$A2:$A723, 0), COLUMN()),"")</f>
        <v/>
      </c>
      <c r="O45" s="212" t="str">
        <f>IFERROR(INDEX('DATA DUMP'!$A$2:$AD$723, MATCH($B$21,'DATA DUMP'!$A2:$A723, 0), COLUMN()),"")</f>
        <v/>
      </c>
      <c r="P45" s="212" t="str">
        <f>IFERROR(INDEX('DATA DUMP'!$A$2:$AD$723, MATCH($B$21,'DATA DUMP'!$A2:$A723, 0), COLUMN()),"")</f>
        <v/>
      </c>
      <c r="Q45" s="212" t="str">
        <f>IFERROR(INDEX('DATA DUMP'!$A$2:$AD$723, MATCH($B$21,'DATA DUMP'!$A2:$A723, 0), COLUMN()),"")</f>
        <v/>
      </c>
      <c r="R45" s="212" t="str">
        <f>IFERROR(INDEX('DATA DUMP'!$A$2:$AD$723, MATCH($B$21,'DATA DUMP'!$A2:$A723, 0), COLUMN()),"")</f>
        <v/>
      </c>
      <c r="S45" s="212" t="str">
        <f>IFERROR(INDEX('DATA DUMP'!$A$2:$AD$723, MATCH($B$21,'DATA DUMP'!$A2:$A723, 0), COLUMN()),"")</f>
        <v/>
      </c>
      <c r="T45" s="212" t="str">
        <f>IFERROR(INDEX('DATA DUMP'!$A$2:$AD$723, MATCH($B$21,'DATA DUMP'!$A2:$A723, 0), COLUMN()),"")</f>
        <v/>
      </c>
      <c r="U45" s="212" t="str">
        <f>IFERROR(INDEX('DATA DUMP'!$A$2:$AD$723, MATCH($B$21,'DATA DUMP'!$A2:$A723, 0), COLUMN()),"")</f>
        <v/>
      </c>
      <c r="V45" s="212" t="str">
        <f>IFERROR(INDEX('DATA DUMP'!$A$2:$AD$723, MATCH($B$21,'DATA DUMP'!$A2:$A723, 0), COLUMN()),"")</f>
        <v/>
      </c>
      <c r="W45" s="212" t="str">
        <f>IFERROR(INDEX('DATA DUMP'!$A$2:$AD$723, MATCH($B$21,'DATA DUMP'!$A2:$A723, 0), COLUMN()),"")</f>
        <v/>
      </c>
      <c r="X45" s="212" t="str">
        <f>IFERROR(INDEX('DATA DUMP'!$A$2:$AD$723, MATCH($B$21,'DATA DUMP'!$A2:$A723, 0), COLUMN()),"")</f>
        <v/>
      </c>
      <c r="Y45" s="212" t="str">
        <f>IFERROR(INDEX('DATA DUMP'!$A$2:$AD$723, MATCH($B$21,'DATA DUMP'!$A2:$A723, 0), COLUMN()),"")</f>
        <v/>
      </c>
      <c r="Z45" s="212" t="str">
        <f>IFERROR(INDEX('DATA DUMP'!$A$2:$AD$723, MATCH($B$21,'DATA DUMP'!$A2:$A723, 0), COLUMN()),"")</f>
        <v/>
      </c>
      <c r="AA45" s="212" t="str">
        <f>IFERROR(INDEX('DATA DUMP'!$A$2:$AD$723, MATCH($B$21,'DATA DUMP'!$A2:$A723, 0), COLUMN()),"")</f>
        <v/>
      </c>
      <c r="AB45" s="212" t="str">
        <f>IFERROR(INDEX('DATA DUMP'!$A$2:$AD$723, MATCH($B$21,'DATA DUMP'!$A2:$A723, 0), COLUMN()),"")</f>
        <v/>
      </c>
      <c r="AC45" s="212" t="str">
        <f>IFERROR(INDEX('DATA DUMP'!$A$2:$AD$723, MATCH($B$21,'DATA DUMP'!$A2:$A723, 0), COLUMN()),"")</f>
        <v/>
      </c>
      <c r="AD45" s="212" t="str">
        <f>IFERROR(INDEX('DATA DUMP'!$A$2:$AD$723, MATCH($B$21,'DATA DUMP'!$A2:$A723, 0), COLUMN()),"")</f>
        <v/>
      </c>
    </row>
    <row r="46" spans="1:30" s="212" customFormat="1" x14ac:dyDescent="0.3">
      <c r="A46" s="212" t="str">
        <f>IFERROR(INDEX('DATA DUMP'!$A$2:$AD$723, MATCH($B$22,'DATA DUMP'!$A2:$A723, 0), COLUMN()),"")</f>
        <v/>
      </c>
      <c r="B46" s="212" t="str">
        <f>IFERROR(INDEX('DATA DUMP'!$A$2:$AD$723, MATCH($B$22,'DATA DUMP'!$A2:$A723, 0), COLUMN()),"")</f>
        <v/>
      </c>
      <c r="C46" s="212" t="str">
        <f>IFERROR(INDEX('DATA DUMP'!$A$2:$AD$723, MATCH($B$22,'DATA DUMP'!$A2:$A723, 0), COLUMN()),"")</f>
        <v/>
      </c>
      <c r="D46" s="212" t="str">
        <f>IFERROR(INDEX('DATA DUMP'!$A$2:$AD$723, MATCH($B$22,'DATA DUMP'!$A2:$A723, 0), COLUMN()),"")</f>
        <v/>
      </c>
      <c r="E46" s="212" t="str">
        <f>IFERROR(INDEX('DATA DUMP'!$A$2:$AD$723, MATCH($B$22,'DATA DUMP'!$A2:$A723, 0), COLUMN()),"")</f>
        <v/>
      </c>
      <c r="F46" s="212" t="str">
        <f>IFERROR(INDEX('DATA DUMP'!$A$2:$AD$723, MATCH($B$22,'DATA DUMP'!$A2:$A723, 0), COLUMN()),"")</f>
        <v/>
      </c>
      <c r="G46" s="212" t="str">
        <f>IFERROR(INDEX('DATA DUMP'!$A$2:$AD$723, MATCH($B$22,'DATA DUMP'!$A2:$A723, 0), COLUMN()),"")</f>
        <v/>
      </c>
      <c r="H46" s="212" t="str">
        <f>IFERROR(INDEX('DATA DUMP'!$A$2:$AD$723, MATCH($B$22,'DATA DUMP'!$A2:$A723, 0), COLUMN()),"")</f>
        <v/>
      </c>
      <c r="I46" s="212" t="str">
        <f>IFERROR(INDEX('DATA DUMP'!$A$2:$AD$723, MATCH($B$22,'DATA DUMP'!$A2:$A723, 0), COLUMN()),"")</f>
        <v/>
      </c>
      <c r="J46" s="212" t="str">
        <f>IFERROR(INDEX('DATA DUMP'!$A$2:$AD$723, MATCH($B$22,'DATA DUMP'!$A2:$A723, 0), COLUMN()),"")</f>
        <v/>
      </c>
      <c r="K46" s="212" t="str">
        <f>IFERROR(INDEX('DATA DUMP'!$A$2:$AD$723, MATCH($B$22,'DATA DUMP'!$A2:$A723, 0), COLUMN()),"")</f>
        <v/>
      </c>
      <c r="L46" s="212" t="str">
        <f>IFERROR(INDEX('DATA DUMP'!$A$2:$AD$723, MATCH($B$22,'DATA DUMP'!$A2:$A723, 0), COLUMN()),"")</f>
        <v/>
      </c>
      <c r="M46" s="212" t="str">
        <f>IFERROR(INDEX('DATA DUMP'!$A$2:$AD$723, MATCH($B$22,'DATA DUMP'!$A2:$A723, 0), COLUMN()),"")</f>
        <v/>
      </c>
      <c r="N46" s="212" t="str">
        <f>IFERROR(INDEX('DATA DUMP'!$A$2:$AD$723, MATCH($B$22,'DATA DUMP'!$A2:$A723, 0), COLUMN()),"")</f>
        <v/>
      </c>
      <c r="O46" s="212" t="str">
        <f>IFERROR(INDEX('DATA DUMP'!$A$2:$AD$723, MATCH($B$22,'DATA DUMP'!$A2:$A723, 0), COLUMN()),"")</f>
        <v/>
      </c>
      <c r="P46" s="212" t="str">
        <f>IFERROR(INDEX('DATA DUMP'!$A$2:$AD$723, MATCH($B$22,'DATA DUMP'!$A2:$A723, 0), COLUMN()),"")</f>
        <v/>
      </c>
      <c r="Q46" s="212" t="str">
        <f>IFERROR(INDEX('DATA DUMP'!$A$2:$AD$723, MATCH($B$22,'DATA DUMP'!$A2:$A723, 0), COLUMN()),"")</f>
        <v/>
      </c>
      <c r="R46" s="212" t="str">
        <f>IFERROR(INDEX('DATA DUMP'!$A$2:$AD$723, MATCH($B$22,'DATA DUMP'!$A2:$A723, 0), COLUMN()),"")</f>
        <v/>
      </c>
      <c r="S46" s="212" t="str">
        <f>IFERROR(INDEX('DATA DUMP'!$A$2:$AD$723, MATCH($B$22,'DATA DUMP'!$A2:$A723, 0), COLUMN()),"")</f>
        <v/>
      </c>
      <c r="T46" s="212" t="str">
        <f>IFERROR(INDEX('DATA DUMP'!$A$2:$AD$723, MATCH($B$22,'DATA DUMP'!$A2:$A723, 0), COLUMN()),"")</f>
        <v/>
      </c>
      <c r="U46" s="212" t="str">
        <f>IFERROR(INDEX('DATA DUMP'!$A$2:$AD$723, MATCH($B$22,'DATA DUMP'!$A2:$A723, 0), COLUMN()),"")</f>
        <v/>
      </c>
      <c r="V46" s="212" t="str">
        <f>IFERROR(INDEX('DATA DUMP'!$A$2:$AD$723, MATCH($B$22,'DATA DUMP'!$A2:$A723, 0), COLUMN()),"")</f>
        <v/>
      </c>
      <c r="W46" s="212" t="str">
        <f>IFERROR(INDEX('DATA DUMP'!$A$2:$AD$723, MATCH($B$22,'DATA DUMP'!$A2:$A723, 0), COLUMN()),"")</f>
        <v/>
      </c>
      <c r="X46" s="212" t="str">
        <f>IFERROR(INDEX('DATA DUMP'!$A$2:$AD$723, MATCH($B$22,'DATA DUMP'!$A2:$A723, 0), COLUMN()),"")</f>
        <v/>
      </c>
      <c r="Y46" s="212" t="str">
        <f>IFERROR(INDEX('DATA DUMP'!$A$2:$AD$723, MATCH($B$22,'DATA DUMP'!$A2:$A723, 0), COLUMN()),"")</f>
        <v/>
      </c>
      <c r="Z46" s="212" t="str">
        <f>IFERROR(INDEX('DATA DUMP'!$A$2:$AD$723, MATCH($B$22,'DATA DUMP'!$A2:$A723, 0), COLUMN()),"")</f>
        <v/>
      </c>
      <c r="AA46" s="212" t="str">
        <f>IFERROR(INDEX('DATA DUMP'!$A$2:$AD$723, MATCH($B$22,'DATA DUMP'!$A2:$A723, 0), COLUMN()),"")</f>
        <v/>
      </c>
      <c r="AB46" s="212" t="str">
        <f>IFERROR(INDEX('DATA DUMP'!$A$2:$AD$723, MATCH($B$22,'DATA DUMP'!$A2:$A723, 0), COLUMN()),"")</f>
        <v/>
      </c>
      <c r="AC46" s="212" t="str">
        <f>IFERROR(INDEX('DATA DUMP'!$A$2:$AD$723, MATCH($B$22,'DATA DUMP'!$A2:$A723, 0), COLUMN()),"")</f>
        <v/>
      </c>
      <c r="AD46" s="212" t="str">
        <f>IFERROR(INDEX('DATA DUMP'!$A$2:$AD$723, MATCH($B$22,'DATA DUMP'!$A2:$A723, 0), COLUMN()),"")</f>
        <v/>
      </c>
    </row>
    <row r="47" spans="1:30" s="225" customFormat="1" x14ac:dyDescent="0.3"/>
    <row r="48" spans="1:30" s="224" customFormat="1" x14ac:dyDescent="0.3">
      <c r="A48" s="224" t="s">
        <v>1164</v>
      </c>
      <c r="D48" s="224">
        <f>SUMIF(D26:D47,"&lt;&gt;#N/A")</f>
        <v>0</v>
      </c>
      <c r="E48" s="224">
        <f>SUMIF(E26:E47,"&lt;&gt;#N/A")</f>
        <v>0</v>
      </c>
      <c r="F48" s="224">
        <f>SUMIF(F26:F47,"&lt;&gt;#N/A")</f>
        <v>0</v>
      </c>
      <c r="G48" s="224">
        <f t="shared" ref="G48:AD48" si="0">SUMIF(G26:G47,"&lt;&gt;#N/A")</f>
        <v>0</v>
      </c>
      <c r="H48" s="224">
        <f>SUMIF(H26:H47,"&lt;&gt;#N/A")</f>
        <v>0</v>
      </c>
      <c r="I48" s="224">
        <f t="shared" si="0"/>
        <v>0</v>
      </c>
      <c r="J48" s="224">
        <f t="shared" si="0"/>
        <v>0</v>
      </c>
      <c r="K48" s="224">
        <f t="shared" si="0"/>
        <v>0</v>
      </c>
      <c r="L48" s="224">
        <f t="shared" si="0"/>
        <v>0</v>
      </c>
      <c r="M48" s="224">
        <f t="shared" si="0"/>
        <v>0</v>
      </c>
      <c r="N48" s="224">
        <f t="shared" si="0"/>
        <v>0</v>
      </c>
      <c r="O48" s="224">
        <f t="shared" si="0"/>
        <v>0</v>
      </c>
      <c r="P48" s="224">
        <f t="shared" si="0"/>
        <v>0</v>
      </c>
      <c r="Q48" s="224">
        <f t="shared" si="0"/>
        <v>0</v>
      </c>
      <c r="R48" s="224">
        <f t="shared" si="0"/>
        <v>0</v>
      </c>
      <c r="S48" s="224">
        <f t="shared" si="0"/>
        <v>0</v>
      </c>
      <c r="T48" s="224">
        <f t="shared" si="0"/>
        <v>0</v>
      </c>
      <c r="U48" s="224">
        <f t="shared" si="0"/>
        <v>0</v>
      </c>
      <c r="V48" s="224">
        <f t="shared" si="0"/>
        <v>0</v>
      </c>
      <c r="W48" s="224">
        <f t="shared" si="0"/>
        <v>0</v>
      </c>
      <c r="X48" s="224">
        <f t="shared" si="0"/>
        <v>0</v>
      </c>
      <c r="Y48" s="224">
        <f t="shared" si="0"/>
        <v>0</v>
      </c>
      <c r="Z48" s="224">
        <f t="shared" si="0"/>
        <v>0</v>
      </c>
      <c r="AA48" s="224">
        <f t="shared" si="0"/>
        <v>0</v>
      </c>
      <c r="AB48" s="224">
        <f t="shared" si="0"/>
        <v>0</v>
      </c>
      <c r="AC48" s="224">
        <f t="shared" si="0"/>
        <v>0</v>
      </c>
      <c r="AD48" s="224">
        <f t="shared" si="0"/>
        <v>0</v>
      </c>
    </row>
    <row r="49" spans="1:30" s="212" customFormat="1" x14ac:dyDescent="0.3"/>
    <row r="50" spans="1:30" s="212" customFormat="1" x14ac:dyDescent="0.3">
      <c r="A50" s="354" t="s">
        <v>1166</v>
      </c>
      <c r="B50" s="354"/>
      <c r="C50" s="354"/>
      <c r="D50" s="354"/>
      <c r="E50" s="354"/>
      <c r="F50" s="354"/>
      <c r="G50" s="354"/>
      <c r="H50" s="354"/>
      <c r="I50" s="354"/>
      <c r="J50" s="354"/>
      <c r="K50" s="354"/>
      <c r="L50" s="354"/>
      <c r="M50" s="354"/>
      <c r="N50" s="354"/>
      <c r="O50" s="354"/>
      <c r="P50" s="354"/>
      <c r="Q50" s="354"/>
      <c r="R50" s="354"/>
      <c r="S50" s="354"/>
      <c r="T50" s="354"/>
      <c r="U50" s="354"/>
      <c r="V50" s="354"/>
      <c r="W50" s="354"/>
      <c r="X50" s="354"/>
      <c r="Y50" s="354"/>
      <c r="Z50" s="354"/>
      <c r="AA50" s="354"/>
      <c r="AB50" s="354"/>
      <c r="AC50" s="354"/>
      <c r="AD50" s="354"/>
    </row>
    <row r="51" spans="1:30" s="213" customFormat="1" x14ac:dyDescent="0.3"/>
    <row r="52" spans="1:30" s="212" customFormat="1" x14ac:dyDescent="0.3"/>
    <row r="53" spans="1:30" s="212" customFormat="1" x14ac:dyDescent="0.3"/>
    <row r="54" spans="1:30" s="212" customFormat="1" x14ac:dyDescent="0.3"/>
    <row r="55" spans="1:30" s="212" customFormat="1" x14ac:dyDescent="0.3"/>
    <row r="56" spans="1:30" s="212" customFormat="1" x14ac:dyDescent="0.3"/>
    <row r="57" spans="1:30" s="212" customFormat="1" x14ac:dyDescent="0.3"/>
    <row r="58" spans="1:30" s="212" customFormat="1" x14ac:dyDescent="0.3"/>
    <row r="59" spans="1:30" s="212" customFormat="1" x14ac:dyDescent="0.3"/>
    <row r="60" spans="1:30" s="212" customFormat="1" x14ac:dyDescent="0.3"/>
    <row r="61" spans="1:30" s="212" customFormat="1" x14ac:dyDescent="0.3"/>
    <row r="62" spans="1:30" s="212" customFormat="1" x14ac:dyDescent="0.3"/>
    <row r="63" spans="1:30" s="212" customFormat="1" x14ac:dyDescent="0.3"/>
    <row r="64" spans="1:30" s="212" customFormat="1" x14ac:dyDescent="0.3"/>
    <row r="65" spans="1:30" s="212" customFormat="1" x14ac:dyDescent="0.3"/>
    <row r="66" spans="1:30" s="212" customFormat="1" x14ac:dyDescent="0.3"/>
    <row r="67" spans="1:30" s="212" customFormat="1" x14ac:dyDescent="0.3"/>
    <row r="68" spans="1:30" s="212" customFormat="1" x14ac:dyDescent="0.3"/>
    <row r="69" spans="1:30" s="212" customFormat="1" x14ac:dyDescent="0.3"/>
    <row r="70" spans="1:30" s="212" customFormat="1" x14ac:dyDescent="0.3"/>
    <row r="71" spans="1:30" s="212" customFormat="1" x14ac:dyDescent="0.3"/>
    <row r="72" spans="1:30" s="225" customFormat="1" x14ac:dyDescent="0.3"/>
    <row r="73" spans="1:30" s="224" customFormat="1" x14ac:dyDescent="0.3">
      <c r="A73" s="224" t="s">
        <v>1164</v>
      </c>
      <c r="D73" s="224">
        <f>SUMIF(D51:D72,"&lt;&gt;#N/A")</f>
        <v>0</v>
      </c>
      <c r="E73" s="224">
        <f>SUMIF(E51:E72,"&lt;&gt;#N/A")</f>
        <v>0</v>
      </c>
      <c r="F73" s="224">
        <f>SUMIF(F51:F72,"&lt;&gt;#N/A")</f>
        <v>0</v>
      </c>
      <c r="G73" s="224">
        <f t="shared" ref="G73" si="1">SUMIF(G51:G72,"&lt;&gt;#N/A")</f>
        <v>0</v>
      </c>
      <c r="H73" s="224">
        <f>SUMIF(H51:H72,"&lt;&gt;#N/A")</f>
        <v>0</v>
      </c>
      <c r="I73" s="224">
        <f t="shared" ref="I73:AD73" si="2">SUMIF(I51:I72,"&lt;&gt;#N/A")</f>
        <v>0</v>
      </c>
      <c r="J73" s="224">
        <f t="shared" si="2"/>
        <v>0</v>
      </c>
      <c r="K73" s="224">
        <f t="shared" si="2"/>
        <v>0</v>
      </c>
      <c r="L73" s="224">
        <f t="shared" si="2"/>
        <v>0</v>
      </c>
      <c r="M73" s="224">
        <f t="shared" si="2"/>
        <v>0</v>
      </c>
      <c r="N73" s="224">
        <f t="shared" si="2"/>
        <v>0</v>
      </c>
      <c r="O73" s="224">
        <f t="shared" si="2"/>
        <v>0</v>
      </c>
      <c r="P73" s="224">
        <f t="shared" si="2"/>
        <v>0</v>
      </c>
      <c r="Q73" s="224">
        <f t="shared" si="2"/>
        <v>0</v>
      </c>
      <c r="R73" s="224">
        <f t="shared" si="2"/>
        <v>0</v>
      </c>
      <c r="S73" s="224">
        <f t="shared" si="2"/>
        <v>0</v>
      </c>
      <c r="T73" s="224">
        <f t="shared" si="2"/>
        <v>0</v>
      </c>
      <c r="U73" s="224">
        <f t="shared" si="2"/>
        <v>0</v>
      </c>
      <c r="V73" s="224">
        <f t="shared" si="2"/>
        <v>0</v>
      </c>
      <c r="W73" s="224">
        <f t="shared" si="2"/>
        <v>0</v>
      </c>
      <c r="X73" s="224">
        <f t="shared" si="2"/>
        <v>0</v>
      </c>
      <c r="Y73" s="224">
        <f t="shared" si="2"/>
        <v>0</v>
      </c>
      <c r="Z73" s="224">
        <f t="shared" si="2"/>
        <v>0</v>
      </c>
      <c r="AA73" s="224">
        <f t="shared" si="2"/>
        <v>0</v>
      </c>
      <c r="AB73" s="224">
        <f t="shared" si="2"/>
        <v>0</v>
      </c>
      <c r="AC73" s="224">
        <f t="shared" si="2"/>
        <v>0</v>
      </c>
      <c r="AD73" s="224">
        <f t="shared" si="2"/>
        <v>0</v>
      </c>
    </row>
    <row r="74" spans="1:30" s="212" customFormat="1" x14ac:dyDescent="0.3"/>
    <row r="75" spans="1:30" s="212" customFormat="1" x14ac:dyDescent="0.3">
      <c r="A75" s="354" t="s">
        <v>1167</v>
      </c>
      <c r="B75" s="354"/>
      <c r="C75" s="354"/>
      <c r="D75" s="354"/>
      <c r="E75" s="354"/>
      <c r="F75" s="354"/>
      <c r="G75" s="354"/>
      <c r="H75" s="354"/>
      <c r="I75" s="354"/>
      <c r="J75" s="354"/>
      <c r="K75" s="354"/>
      <c r="L75" s="354"/>
      <c r="M75" s="354"/>
      <c r="N75" s="354"/>
      <c r="O75" s="354"/>
      <c r="P75" s="354"/>
      <c r="Q75" s="354"/>
      <c r="R75" s="354"/>
      <c r="S75" s="354"/>
      <c r="T75" s="354"/>
      <c r="U75" s="354"/>
      <c r="V75" s="354"/>
      <c r="W75" s="354"/>
      <c r="X75" s="354"/>
      <c r="Y75" s="354"/>
      <c r="Z75" s="354"/>
      <c r="AA75" s="354"/>
      <c r="AB75" s="354"/>
      <c r="AC75" s="354"/>
      <c r="AD75" s="354"/>
    </row>
    <row r="76" spans="1:30" s="213" customFormat="1" x14ac:dyDescent="0.3"/>
    <row r="77" spans="1:30" s="212" customFormat="1" x14ac:dyDescent="0.3"/>
    <row r="78" spans="1:30" s="212" customFormat="1" x14ac:dyDescent="0.3"/>
    <row r="79" spans="1:30" s="212" customFormat="1" x14ac:dyDescent="0.3"/>
    <row r="80" spans="1:30" s="212" customFormat="1" x14ac:dyDescent="0.3"/>
    <row r="81" s="212" customFormat="1" x14ac:dyDescent="0.3"/>
    <row r="82" s="212" customFormat="1" x14ac:dyDescent="0.3"/>
    <row r="83" s="212" customFormat="1" x14ac:dyDescent="0.3"/>
    <row r="84" s="212" customFormat="1" x14ac:dyDescent="0.3"/>
    <row r="85" s="212" customFormat="1" x14ac:dyDescent="0.3"/>
    <row r="86" s="212" customFormat="1" x14ac:dyDescent="0.3"/>
    <row r="87" s="212" customFormat="1" x14ac:dyDescent="0.3"/>
    <row r="88" s="212" customFormat="1" x14ac:dyDescent="0.3"/>
    <row r="89" s="212" customFormat="1" x14ac:dyDescent="0.3"/>
    <row r="90" s="212" customFormat="1" x14ac:dyDescent="0.3"/>
    <row r="91" s="212" customFormat="1" x14ac:dyDescent="0.3"/>
    <row r="92" s="212" customFormat="1" x14ac:dyDescent="0.3"/>
    <row r="93" s="212" customFormat="1" x14ac:dyDescent="0.3"/>
    <row r="94" s="212" customFormat="1" x14ac:dyDescent="0.3"/>
    <row r="95" s="212" customFormat="1" x14ac:dyDescent="0.3"/>
    <row r="96" s="212" customFormat="1" x14ac:dyDescent="0.3"/>
    <row r="97" spans="1:30" s="225" customFormat="1" x14ac:dyDescent="0.3"/>
    <row r="98" spans="1:30" s="224" customFormat="1" x14ac:dyDescent="0.3">
      <c r="A98" s="224" t="s">
        <v>1164</v>
      </c>
      <c r="D98" s="224">
        <f>SUMIF(D76:D97,"&lt;&gt;#N/A")</f>
        <v>0</v>
      </c>
      <c r="E98" s="224">
        <f>SUMIF(E76:E97,"&lt;&gt;#N/A")</f>
        <v>0</v>
      </c>
      <c r="F98" s="224">
        <f>SUMIF(F76:F97,"&lt;&gt;#N/A")</f>
        <v>0</v>
      </c>
      <c r="G98" s="224">
        <f t="shared" ref="G98" si="3">SUMIF(G76:G97,"&lt;&gt;#N/A")</f>
        <v>0</v>
      </c>
      <c r="H98" s="224">
        <f>SUMIF(H76:H97,"&lt;&gt;#N/A")</f>
        <v>0</v>
      </c>
      <c r="I98" s="224">
        <f t="shared" ref="I98:AD98" si="4">SUMIF(I76:I97,"&lt;&gt;#N/A")</f>
        <v>0</v>
      </c>
      <c r="J98" s="224">
        <f t="shared" si="4"/>
        <v>0</v>
      </c>
      <c r="K98" s="224">
        <f t="shared" si="4"/>
        <v>0</v>
      </c>
      <c r="L98" s="224">
        <f t="shared" si="4"/>
        <v>0</v>
      </c>
      <c r="M98" s="224">
        <f t="shared" si="4"/>
        <v>0</v>
      </c>
      <c r="N98" s="224">
        <f t="shared" si="4"/>
        <v>0</v>
      </c>
      <c r="O98" s="224">
        <f t="shared" si="4"/>
        <v>0</v>
      </c>
      <c r="P98" s="224">
        <f t="shared" si="4"/>
        <v>0</v>
      </c>
      <c r="Q98" s="224">
        <f t="shared" si="4"/>
        <v>0</v>
      </c>
      <c r="R98" s="224">
        <f t="shared" si="4"/>
        <v>0</v>
      </c>
      <c r="S98" s="224">
        <f t="shared" si="4"/>
        <v>0</v>
      </c>
      <c r="T98" s="224">
        <f t="shared" si="4"/>
        <v>0</v>
      </c>
      <c r="U98" s="224">
        <f t="shared" si="4"/>
        <v>0</v>
      </c>
      <c r="V98" s="224">
        <f t="shared" si="4"/>
        <v>0</v>
      </c>
      <c r="W98" s="224">
        <f t="shared" si="4"/>
        <v>0</v>
      </c>
      <c r="X98" s="224">
        <f t="shared" si="4"/>
        <v>0</v>
      </c>
      <c r="Y98" s="224">
        <f t="shared" si="4"/>
        <v>0</v>
      </c>
      <c r="Z98" s="224">
        <f t="shared" si="4"/>
        <v>0</v>
      </c>
      <c r="AA98" s="224">
        <f t="shared" si="4"/>
        <v>0</v>
      </c>
      <c r="AB98" s="224">
        <f t="shared" si="4"/>
        <v>0</v>
      </c>
      <c r="AC98" s="224">
        <f t="shared" si="4"/>
        <v>0</v>
      </c>
      <c r="AD98" s="224">
        <f t="shared" si="4"/>
        <v>0</v>
      </c>
    </row>
    <row r="99" spans="1:30" s="212" customFormat="1" x14ac:dyDescent="0.3"/>
    <row r="100" spans="1:30" s="212" customFormat="1" x14ac:dyDescent="0.3"/>
    <row r="101" spans="1:30" s="212" customFormat="1" x14ac:dyDescent="0.3">
      <c r="A101" s="354" t="s">
        <v>1168</v>
      </c>
      <c r="B101" s="354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</row>
    <row r="102" spans="1:30" s="213" customFormat="1" x14ac:dyDescent="0.3"/>
    <row r="103" spans="1:30" s="212" customFormat="1" x14ac:dyDescent="0.3"/>
    <row r="104" spans="1:30" s="212" customFormat="1" x14ac:dyDescent="0.3"/>
    <row r="105" spans="1:30" s="212" customFormat="1" x14ac:dyDescent="0.3"/>
    <row r="106" spans="1:30" s="212" customFormat="1" x14ac:dyDescent="0.3"/>
    <row r="107" spans="1:30" s="212" customFormat="1" x14ac:dyDescent="0.3"/>
    <row r="108" spans="1:30" s="212" customFormat="1" x14ac:dyDescent="0.3"/>
    <row r="109" spans="1:30" s="212" customFormat="1" x14ac:dyDescent="0.3"/>
    <row r="110" spans="1:30" s="212" customFormat="1" x14ac:dyDescent="0.3"/>
    <row r="111" spans="1:30" s="212" customFormat="1" x14ac:dyDescent="0.3"/>
    <row r="112" spans="1:30" s="212" customFormat="1" x14ac:dyDescent="0.3"/>
    <row r="113" spans="1:30" s="212" customFormat="1" x14ac:dyDescent="0.3"/>
    <row r="114" spans="1:30" s="212" customFormat="1" x14ac:dyDescent="0.3"/>
    <row r="115" spans="1:30" s="212" customFormat="1" x14ac:dyDescent="0.3"/>
    <row r="116" spans="1:30" s="212" customFormat="1" x14ac:dyDescent="0.3"/>
    <row r="117" spans="1:30" s="212" customFormat="1" x14ac:dyDescent="0.3"/>
    <row r="118" spans="1:30" s="212" customFormat="1" x14ac:dyDescent="0.3"/>
    <row r="119" spans="1:30" s="212" customFormat="1" x14ac:dyDescent="0.3"/>
    <row r="120" spans="1:30" s="212" customFormat="1" x14ac:dyDescent="0.3"/>
    <row r="121" spans="1:30" s="212" customFormat="1" x14ac:dyDescent="0.3"/>
    <row r="122" spans="1:30" s="212" customFormat="1" x14ac:dyDescent="0.3"/>
    <row r="123" spans="1:30" s="225" customFormat="1" x14ac:dyDescent="0.3"/>
    <row r="124" spans="1:30" s="224" customFormat="1" x14ac:dyDescent="0.3">
      <c r="A124" s="224" t="s">
        <v>1164</v>
      </c>
      <c r="D124" s="224">
        <f>SUMIF(D102:D123,"&lt;&gt;#N/A")</f>
        <v>0</v>
      </c>
      <c r="E124" s="224">
        <f>SUMIF(E102:E123,"&lt;&gt;#N/A")</f>
        <v>0</v>
      </c>
      <c r="F124" s="224">
        <f>SUMIF(F102:F123,"&lt;&gt;#N/A")</f>
        <v>0</v>
      </c>
      <c r="G124" s="224">
        <f t="shared" ref="G124" si="5">SUMIF(G102:G123,"&lt;&gt;#N/A")</f>
        <v>0</v>
      </c>
      <c r="H124" s="224">
        <f>SUMIF(H102:H123,"&lt;&gt;#N/A")</f>
        <v>0</v>
      </c>
      <c r="I124" s="224">
        <f t="shared" ref="I124:AD124" si="6">SUMIF(I102:I123,"&lt;&gt;#N/A")</f>
        <v>0</v>
      </c>
      <c r="J124" s="224">
        <f t="shared" si="6"/>
        <v>0</v>
      </c>
      <c r="K124" s="224">
        <f t="shared" si="6"/>
        <v>0</v>
      </c>
      <c r="L124" s="224">
        <f t="shared" si="6"/>
        <v>0</v>
      </c>
      <c r="M124" s="224">
        <f t="shared" si="6"/>
        <v>0</v>
      </c>
      <c r="N124" s="224">
        <f t="shared" si="6"/>
        <v>0</v>
      </c>
      <c r="O124" s="224">
        <f t="shared" si="6"/>
        <v>0</v>
      </c>
      <c r="P124" s="224">
        <f t="shared" si="6"/>
        <v>0</v>
      </c>
      <c r="Q124" s="224">
        <f t="shared" si="6"/>
        <v>0</v>
      </c>
      <c r="R124" s="224">
        <f t="shared" si="6"/>
        <v>0</v>
      </c>
      <c r="S124" s="224">
        <f t="shared" si="6"/>
        <v>0</v>
      </c>
      <c r="T124" s="224">
        <f t="shared" si="6"/>
        <v>0</v>
      </c>
      <c r="U124" s="224">
        <f t="shared" si="6"/>
        <v>0</v>
      </c>
      <c r="V124" s="224">
        <f t="shared" si="6"/>
        <v>0</v>
      </c>
      <c r="W124" s="224">
        <f t="shared" si="6"/>
        <v>0</v>
      </c>
      <c r="X124" s="224">
        <f t="shared" si="6"/>
        <v>0</v>
      </c>
      <c r="Y124" s="224">
        <f t="shared" si="6"/>
        <v>0</v>
      </c>
      <c r="Z124" s="224">
        <f t="shared" si="6"/>
        <v>0</v>
      </c>
      <c r="AA124" s="224">
        <f t="shared" si="6"/>
        <v>0</v>
      </c>
      <c r="AB124" s="224">
        <f t="shared" si="6"/>
        <v>0</v>
      </c>
      <c r="AC124" s="224">
        <f t="shared" si="6"/>
        <v>0</v>
      </c>
      <c r="AD124" s="224">
        <f t="shared" si="6"/>
        <v>0</v>
      </c>
    </row>
    <row r="125" spans="1:30" s="212" customFormat="1" x14ac:dyDescent="0.3"/>
    <row r="126" spans="1:30" s="212" customFormat="1" x14ac:dyDescent="0.3"/>
    <row r="127" spans="1:30" s="212" customFormat="1" x14ac:dyDescent="0.3"/>
    <row r="128" spans="1:30" s="212" customFormat="1" x14ac:dyDescent="0.3"/>
    <row r="129" s="212" customFormat="1" x14ac:dyDescent="0.3"/>
    <row r="130" s="212" customFormat="1" x14ac:dyDescent="0.3"/>
    <row r="131" s="212" customFormat="1" x14ac:dyDescent="0.3"/>
    <row r="132" s="212" customFormat="1" x14ac:dyDescent="0.3"/>
    <row r="133" s="212" customFormat="1" x14ac:dyDescent="0.3"/>
    <row r="134" s="212" customFormat="1" x14ac:dyDescent="0.3"/>
    <row r="135" s="212" customFormat="1" x14ac:dyDescent="0.3"/>
    <row r="136" s="212" customFormat="1" x14ac:dyDescent="0.3"/>
    <row r="137" s="212" customFormat="1" x14ac:dyDescent="0.3"/>
    <row r="138" s="212" customFormat="1" x14ac:dyDescent="0.3"/>
    <row r="139" s="212" customFormat="1" x14ac:dyDescent="0.3"/>
    <row r="140" s="212" customFormat="1" x14ac:dyDescent="0.3"/>
    <row r="141" s="212" customFormat="1" x14ac:dyDescent="0.3"/>
    <row r="142" s="212" customFormat="1" x14ac:dyDescent="0.3"/>
    <row r="143" s="212" customFormat="1" x14ac:dyDescent="0.3"/>
    <row r="144" s="212" customFormat="1" x14ac:dyDescent="0.3"/>
    <row r="145" s="212" customFormat="1" x14ac:dyDescent="0.3"/>
    <row r="146" s="212" customFormat="1" x14ac:dyDescent="0.3"/>
    <row r="147" s="212" customFormat="1" x14ac:dyDescent="0.3"/>
    <row r="148" s="212" customFormat="1" x14ac:dyDescent="0.3"/>
    <row r="149" s="212" customFormat="1" x14ac:dyDescent="0.3"/>
    <row r="150" s="212" customFormat="1" x14ac:dyDescent="0.3"/>
    <row r="151" s="212" customFormat="1" x14ac:dyDescent="0.3"/>
    <row r="152" s="212" customFormat="1" x14ac:dyDescent="0.3"/>
    <row r="153" s="212" customFormat="1" x14ac:dyDescent="0.3"/>
    <row r="154" s="212" customFormat="1" x14ac:dyDescent="0.3"/>
    <row r="155" s="212" customFormat="1" x14ac:dyDescent="0.3"/>
    <row r="156" s="212" customFormat="1" x14ac:dyDescent="0.3"/>
    <row r="157" s="212" customFormat="1" x14ac:dyDescent="0.3"/>
    <row r="158" s="212" customFormat="1" x14ac:dyDescent="0.3"/>
    <row r="159" s="212" customFormat="1" x14ac:dyDescent="0.3"/>
    <row r="160" s="212" customFormat="1" x14ac:dyDescent="0.3"/>
    <row r="161" s="212" customFormat="1" x14ac:dyDescent="0.3"/>
    <row r="162" s="212" customFormat="1" x14ac:dyDescent="0.3"/>
    <row r="163" s="212" customFormat="1" x14ac:dyDescent="0.3"/>
    <row r="164" s="212" customFormat="1" x14ac:dyDescent="0.3"/>
    <row r="165" s="212" customFormat="1" x14ac:dyDescent="0.3"/>
    <row r="166" s="212" customFormat="1" x14ac:dyDescent="0.3"/>
    <row r="167" s="212" customFormat="1" x14ac:dyDescent="0.3"/>
    <row r="168" s="212" customFormat="1" x14ac:dyDescent="0.3"/>
    <row r="169" s="212" customFormat="1" x14ac:dyDescent="0.3"/>
    <row r="170" s="212" customFormat="1" x14ac:dyDescent="0.3"/>
    <row r="171" s="212" customFormat="1" x14ac:dyDescent="0.3"/>
    <row r="172" s="212" customFormat="1" x14ac:dyDescent="0.3"/>
    <row r="173" s="212" customFormat="1" x14ac:dyDescent="0.3"/>
    <row r="174" s="212" customFormat="1" x14ac:dyDescent="0.3"/>
    <row r="175" s="212" customFormat="1" x14ac:dyDescent="0.3"/>
    <row r="176" s="212" customFormat="1" x14ac:dyDescent="0.3"/>
    <row r="177" s="212" customFormat="1" x14ac:dyDescent="0.3"/>
    <row r="178" s="212" customFormat="1" x14ac:dyDescent="0.3"/>
    <row r="179" s="212" customFormat="1" x14ac:dyDescent="0.3"/>
    <row r="180" s="212" customFormat="1" x14ac:dyDescent="0.3"/>
    <row r="181" s="212" customFormat="1" x14ac:dyDescent="0.3"/>
    <row r="182" s="212" customFormat="1" x14ac:dyDescent="0.3"/>
    <row r="183" s="212" customFormat="1" x14ac:dyDescent="0.3"/>
    <row r="184" s="212" customFormat="1" x14ac:dyDescent="0.3"/>
    <row r="185" s="212" customFormat="1" x14ac:dyDescent="0.3"/>
    <row r="186" s="212" customFormat="1" x14ac:dyDescent="0.3"/>
    <row r="187" s="212" customFormat="1" x14ac:dyDescent="0.3"/>
    <row r="188" s="212" customFormat="1" x14ac:dyDescent="0.3"/>
    <row r="189" s="212" customFormat="1" x14ac:dyDescent="0.3"/>
    <row r="190" s="212" customFormat="1" x14ac:dyDescent="0.3"/>
    <row r="191" s="212" customFormat="1" x14ac:dyDescent="0.3"/>
    <row r="192" s="212" customFormat="1" x14ac:dyDescent="0.3"/>
    <row r="193" s="212" customFormat="1" x14ac:dyDescent="0.3"/>
    <row r="194" s="212" customFormat="1" x14ac:dyDescent="0.3"/>
    <row r="195" s="212" customFormat="1" x14ac:dyDescent="0.3"/>
    <row r="196" s="212" customFormat="1" x14ac:dyDescent="0.3"/>
    <row r="197" s="212" customFormat="1" x14ac:dyDescent="0.3"/>
    <row r="198" s="212" customFormat="1" x14ac:dyDescent="0.3"/>
    <row r="199" s="212" customFormat="1" x14ac:dyDescent="0.3"/>
    <row r="200" s="212" customFormat="1" x14ac:dyDescent="0.3"/>
    <row r="201" s="212" customFormat="1" x14ac:dyDescent="0.3"/>
    <row r="202" s="212" customFormat="1" x14ac:dyDescent="0.3"/>
    <row r="203" s="212" customFormat="1" x14ac:dyDescent="0.3"/>
    <row r="204" s="212" customFormat="1" x14ac:dyDescent="0.3"/>
    <row r="205" s="212" customFormat="1" x14ac:dyDescent="0.3"/>
    <row r="206" s="212" customFormat="1" x14ac:dyDescent="0.3"/>
    <row r="207" s="212" customFormat="1" x14ac:dyDescent="0.3"/>
    <row r="208" s="212" customFormat="1" x14ac:dyDescent="0.3"/>
    <row r="209" s="212" customFormat="1" x14ac:dyDescent="0.3"/>
    <row r="210" s="212" customFormat="1" x14ac:dyDescent="0.3"/>
    <row r="211" s="212" customFormat="1" x14ac:dyDescent="0.3"/>
    <row r="212" s="212" customFormat="1" x14ac:dyDescent="0.3"/>
    <row r="213" s="212" customFormat="1" x14ac:dyDescent="0.3"/>
    <row r="214" s="212" customFormat="1" x14ac:dyDescent="0.3"/>
    <row r="215" s="212" customFormat="1" x14ac:dyDescent="0.3"/>
    <row r="216" s="212" customFormat="1" x14ac:dyDescent="0.3"/>
    <row r="217" s="212" customFormat="1" x14ac:dyDescent="0.3"/>
    <row r="218" s="212" customFormat="1" x14ac:dyDescent="0.3"/>
    <row r="219" s="212" customFormat="1" x14ac:dyDescent="0.3"/>
    <row r="220" s="212" customFormat="1" x14ac:dyDescent="0.3"/>
    <row r="221" s="212" customFormat="1" x14ac:dyDescent="0.3"/>
    <row r="222" s="212" customFormat="1" x14ac:dyDescent="0.3"/>
    <row r="223" s="212" customFormat="1" x14ac:dyDescent="0.3"/>
    <row r="224" s="212" customFormat="1" x14ac:dyDescent="0.3"/>
    <row r="225" s="212" customFormat="1" x14ac:dyDescent="0.3"/>
    <row r="226" s="212" customFormat="1" x14ac:dyDescent="0.3"/>
    <row r="227" s="212" customFormat="1" x14ac:dyDescent="0.3"/>
    <row r="228" s="212" customFormat="1" x14ac:dyDescent="0.3"/>
    <row r="229" s="212" customFormat="1" x14ac:dyDescent="0.3"/>
    <row r="230" s="212" customFormat="1" x14ac:dyDescent="0.3"/>
    <row r="231" s="212" customFormat="1" x14ac:dyDescent="0.3"/>
    <row r="232" s="212" customFormat="1" x14ac:dyDescent="0.3"/>
    <row r="233" s="212" customFormat="1" x14ac:dyDescent="0.3"/>
    <row r="234" s="212" customFormat="1" x14ac:dyDescent="0.3"/>
    <row r="235" s="212" customFormat="1" x14ac:dyDescent="0.3"/>
    <row r="236" s="212" customFormat="1" x14ac:dyDescent="0.3"/>
    <row r="237" s="212" customFormat="1" x14ac:dyDescent="0.3"/>
    <row r="238" s="212" customFormat="1" x14ac:dyDescent="0.3"/>
    <row r="239" s="212" customFormat="1" x14ac:dyDescent="0.3"/>
    <row r="240" s="212" customFormat="1" x14ac:dyDescent="0.3"/>
    <row r="241" s="212" customFormat="1" x14ac:dyDescent="0.3"/>
    <row r="242" s="212" customFormat="1" x14ac:dyDescent="0.3"/>
    <row r="243" s="212" customFormat="1" x14ac:dyDescent="0.3"/>
    <row r="244" s="212" customFormat="1" x14ac:dyDescent="0.3"/>
    <row r="245" s="212" customFormat="1" x14ac:dyDescent="0.3"/>
    <row r="246" s="212" customFormat="1" x14ac:dyDescent="0.3"/>
    <row r="247" s="212" customFormat="1" x14ac:dyDescent="0.3"/>
    <row r="248" s="212" customFormat="1" x14ac:dyDescent="0.3"/>
    <row r="249" s="212" customFormat="1" x14ac:dyDescent="0.3"/>
    <row r="250" s="212" customFormat="1" x14ac:dyDescent="0.3"/>
    <row r="251" s="212" customFormat="1" x14ac:dyDescent="0.3"/>
    <row r="252" s="212" customFormat="1" x14ac:dyDescent="0.3"/>
    <row r="253" s="212" customFormat="1" x14ac:dyDescent="0.3"/>
    <row r="254" s="212" customFormat="1" x14ac:dyDescent="0.3"/>
    <row r="255" s="212" customFormat="1" x14ac:dyDescent="0.3"/>
    <row r="256" s="212" customFormat="1" x14ac:dyDescent="0.3"/>
    <row r="257" s="212" customFormat="1" x14ac:dyDescent="0.3"/>
    <row r="258" s="212" customFormat="1" x14ac:dyDescent="0.3"/>
    <row r="259" s="212" customFormat="1" x14ac:dyDescent="0.3"/>
    <row r="260" s="212" customFormat="1" x14ac:dyDescent="0.3"/>
    <row r="261" s="212" customFormat="1" x14ac:dyDescent="0.3"/>
    <row r="262" s="212" customFormat="1" x14ac:dyDescent="0.3"/>
    <row r="263" s="212" customFormat="1" x14ac:dyDescent="0.3"/>
    <row r="264" s="212" customFormat="1" x14ac:dyDescent="0.3"/>
    <row r="265" s="212" customFormat="1" x14ac:dyDescent="0.3"/>
    <row r="266" s="212" customFormat="1" x14ac:dyDescent="0.3"/>
    <row r="267" s="212" customFormat="1" x14ac:dyDescent="0.3"/>
    <row r="268" s="212" customFormat="1" x14ac:dyDescent="0.3"/>
    <row r="269" s="212" customFormat="1" x14ac:dyDescent="0.3"/>
    <row r="270" s="212" customFormat="1" x14ac:dyDescent="0.3"/>
    <row r="271" s="212" customFormat="1" x14ac:dyDescent="0.3"/>
    <row r="272" s="212" customFormat="1" x14ac:dyDescent="0.3"/>
    <row r="273" s="212" customFormat="1" x14ac:dyDescent="0.3"/>
    <row r="274" s="212" customFormat="1" x14ac:dyDescent="0.3"/>
    <row r="275" s="212" customFormat="1" x14ac:dyDescent="0.3"/>
    <row r="276" s="212" customFormat="1" x14ac:dyDescent="0.3"/>
    <row r="277" s="212" customFormat="1" x14ac:dyDescent="0.3"/>
    <row r="278" s="212" customFormat="1" x14ac:dyDescent="0.3"/>
    <row r="279" s="212" customFormat="1" x14ac:dyDescent="0.3"/>
    <row r="280" s="212" customFormat="1" x14ac:dyDescent="0.3"/>
    <row r="281" s="212" customFormat="1" x14ac:dyDescent="0.3"/>
    <row r="282" s="212" customFormat="1" x14ac:dyDescent="0.3"/>
    <row r="283" s="212" customFormat="1" x14ac:dyDescent="0.3"/>
    <row r="284" s="212" customFormat="1" x14ac:dyDescent="0.3"/>
    <row r="285" s="212" customFormat="1" x14ac:dyDescent="0.3"/>
    <row r="286" s="212" customFormat="1" x14ac:dyDescent="0.3"/>
    <row r="287" s="212" customFormat="1" x14ac:dyDescent="0.3"/>
    <row r="288" s="212" customFormat="1" x14ac:dyDescent="0.3"/>
    <row r="289" s="212" customFormat="1" x14ac:dyDescent="0.3"/>
    <row r="290" s="212" customFormat="1" x14ac:dyDescent="0.3"/>
    <row r="291" s="212" customFormat="1" x14ac:dyDescent="0.3"/>
    <row r="292" s="212" customFormat="1" x14ac:dyDescent="0.3"/>
    <row r="293" s="212" customFormat="1" x14ac:dyDescent="0.3"/>
    <row r="294" s="212" customFormat="1" x14ac:dyDescent="0.3"/>
    <row r="295" s="212" customFormat="1" x14ac:dyDescent="0.3"/>
    <row r="296" s="212" customFormat="1" x14ac:dyDescent="0.3"/>
    <row r="297" s="212" customFormat="1" x14ac:dyDescent="0.3"/>
    <row r="298" s="212" customFormat="1" x14ac:dyDescent="0.3"/>
    <row r="299" s="212" customFormat="1" x14ac:dyDescent="0.3"/>
    <row r="300" s="212" customFormat="1" x14ac:dyDescent="0.3"/>
    <row r="301" s="212" customFormat="1" x14ac:dyDescent="0.3"/>
    <row r="302" s="212" customFormat="1" x14ac:dyDescent="0.3"/>
    <row r="303" s="212" customFormat="1" x14ac:dyDescent="0.3"/>
    <row r="304" s="212" customFormat="1" x14ac:dyDescent="0.3"/>
    <row r="305" s="212" customFormat="1" x14ac:dyDescent="0.3"/>
    <row r="306" s="212" customFormat="1" x14ac:dyDescent="0.3"/>
    <row r="307" s="212" customFormat="1" x14ac:dyDescent="0.3"/>
    <row r="308" s="212" customFormat="1" x14ac:dyDescent="0.3"/>
    <row r="309" s="212" customFormat="1" x14ac:dyDescent="0.3"/>
    <row r="310" s="212" customFormat="1" x14ac:dyDescent="0.3"/>
    <row r="311" s="212" customFormat="1" x14ac:dyDescent="0.3"/>
    <row r="312" s="212" customFormat="1" x14ac:dyDescent="0.3"/>
    <row r="313" s="212" customFormat="1" x14ac:dyDescent="0.3"/>
    <row r="314" s="212" customFormat="1" x14ac:dyDescent="0.3"/>
    <row r="315" s="212" customFormat="1" x14ac:dyDescent="0.3"/>
    <row r="316" s="212" customFormat="1" x14ac:dyDescent="0.3"/>
    <row r="317" s="212" customFormat="1" x14ac:dyDescent="0.3"/>
    <row r="318" s="212" customFormat="1" x14ac:dyDescent="0.3"/>
    <row r="319" s="212" customFormat="1" x14ac:dyDescent="0.3"/>
    <row r="320" s="212" customFormat="1" x14ac:dyDescent="0.3"/>
    <row r="321" s="212" customFormat="1" x14ac:dyDescent="0.3"/>
    <row r="322" s="212" customFormat="1" x14ac:dyDescent="0.3"/>
    <row r="323" s="212" customFormat="1" x14ac:dyDescent="0.3"/>
    <row r="324" s="212" customFormat="1" x14ac:dyDescent="0.3"/>
    <row r="325" s="212" customFormat="1" x14ac:dyDescent="0.3"/>
    <row r="326" s="212" customFormat="1" x14ac:dyDescent="0.3"/>
    <row r="327" s="212" customFormat="1" x14ac:dyDescent="0.3"/>
    <row r="328" s="212" customFormat="1" x14ac:dyDescent="0.3"/>
    <row r="329" s="212" customFormat="1" x14ac:dyDescent="0.3"/>
    <row r="330" s="212" customFormat="1" x14ac:dyDescent="0.3"/>
    <row r="331" s="212" customFormat="1" x14ac:dyDescent="0.3"/>
    <row r="332" s="212" customFormat="1" x14ac:dyDescent="0.3"/>
    <row r="333" s="212" customFormat="1" x14ac:dyDescent="0.3"/>
    <row r="334" s="212" customFormat="1" x14ac:dyDescent="0.3"/>
    <row r="335" s="212" customFormat="1" x14ac:dyDescent="0.3"/>
    <row r="336" s="212" customFormat="1" x14ac:dyDescent="0.3"/>
    <row r="337" s="212" customFormat="1" x14ac:dyDescent="0.3"/>
    <row r="338" s="212" customFormat="1" x14ac:dyDescent="0.3"/>
    <row r="339" s="212" customFormat="1" x14ac:dyDescent="0.3"/>
    <row r="340" s="212" customFormat="1" x14ac:dyDescent="0.3"/>
    <row r="341" s="212" customFormat="1" x14ac:dyDescent="0.3"/>
    <row r="342" s="212" customFormat="1" x14ac:dyDescent="0.3"/>
    <row r="343" s="212" customFormat="1" x14ac:dyDescent="0.3"/>
    <row r="344" s="212" customFormat="1" x14ac:dyDescent="0.3"/>
    <row r="345" s="212" customFormat="1" x14ac:dyDescent="0.3"/>
    <row r="346" s="212" customFormat="1" x14ac:dyDescent="0.3"/>
    <row r="347" s="212" customFormat="1" x14ac:dyDescent="0.3"/>
    <row r="348" s="212" customFormat="1" x14ac:dyDescent="0.3"/>
    <row r="349" s="212" customFormat="1" x14ac:dyDescent="0.3"/>
    <row r="350" s="212" customFormat="1" x14ac:dyDescent="0.3"/>
    <row r="351" s="212" customFormat="1" x14ac:dyDescent="0.3"/>
    <row r="352" s="212" customFormat="1" x14ac:dyDescent="0.3"/>
    <row r="353" s="212" customFormat="1" x14ac:dyDescent="0.3"/>
    <row r="354" s="212" customFormat="1" x14ac:dyDescent="0.3"/>
    <row r="355" s="212" customFormat="1" x14ac:dyDescent="0.3"/>
    <row r="356" s="212" customFormat="1" x14ac:dyDescent="0.3"/>
    <row r="357" s="212" customFormat="1" x14ac:dyDescent="0.3"/>
  </sheetData>
  <sheetProtection selectLockedCells="1"/>
  <mergeCells count="12">
    <mergeCell ref="A1:F1"/>
    <mergeCell ref="G1:L1"/>
    <mergeCell ref="M1:R1"/>
    <mergeCell ref="R18:R19"/>
    <mergeCell ref="S1:X1"/>
    <mergeCell ref="X18:X19"/>
    <mergeCell ref="A50:AD50"/>
    <mergeCell ref="A75:AD75"/>
    <mergeCell ref="A101:AD101"/>
    <mergeCell ref="F18:F19"/>
    <mergeCell ref="A25:AD25"/>
    <mergeCell ref="L18:L19"/>
  </mergeCells>
  <conditionalFormatting sqref="N26">
    <cfRule type="cellIs" dxfId="2" priority="5" operator="equal">
      <formula>1</formula>
    </cfRule>
  </conditionalFormatting>
  <conditionalFormatting sqref="N27">
    <cfRule type="cellIs" dxfId="1" priority="4" operator="equal">
      <formula>1</formula>
    </cfRule>
  </conditionalFormatting>
  <conditionalFormatting sqref="N27:N46"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I103"/>
  <sheetViews>
    <sheetView workbookViewId="0">
      <selection activeCell="B8" sqref="B8:D9"/>
    </sheetView>
  </sheetViews>
  <sheetFormatPr defaultColWidth="8.88671875" defaultRowHeight="14.4" x14ac:dyDescent="0.3"/>
  <cols>
    <col min="1" max="1" width="15.6640625" style="192" customWidth="1"/>
    <col min="2" max="3" width="8.88671875" style="192"/>
    <col min="4" max="4" width="11.33203125" style="192" customWidth="1"/>
    <col min="5" max="5" width="8.88671875" style="192"/>
    <col min="6" max="6" width="5.44140625" style="192" customWidth="1"/>
    <col min="7" max="7" width="13.33203125" style="192" customWidth="1"/>
    <col min="8" max="8" width="11.44140625" style="192" customWidth="1"/>
    <col min="9" max="31" width="8.88671875" style="192"/>
    <col min="32" max="32" width="15.6640625" style="192" customWidth="1"/>
    <col min="33" max="16384" width="8.88671875" style="192"/>
  </cols>
  <sheetData>
    <row r="1" spans="1:61" s="189" customFormat="1" x14ac:dyDescent="0.3">
      <c r="G1" s="359" t="s">
        <v>1160</v>
      </c>
      <c r="H1" s="359"/>
      <c r="I1" s="359"/>
      <c r="J1" s="359"/>
      <c r="K1" s="359"/>
      <c r="L1" s="359"/>
      <c r="M1" s="359"/>
      <c r="N1" s="359"/>
    </row>
    <row r="2" spans="1:61" s="189" customFormat="1" x14ac:dyDescent="0.3">
      <c r="G2" s="359"/>
      <c r="H2" s="359"/>
      <c r="I2" s="359"/>
      <c r="J2" s="359"/>
      <c r="K2" s="359"/>
      <c r="L2" s="359"/>
      <c r="M2" s="359"/>
      <c r="N2" s="359"/>
    </row>
    <row r="3" spans="1:61" s="189" customFormat="1" x14ac:dyDescent="0.3">
      <c r="G3" s="359"/>
      <c r="H3" s="359"/>
      <c r="I3" s="359"/>
      <c r="J3" s="359"/>
      <c r="K3" s="359"/>
      <c r="L3" s="359"/>
      <c r="M3" s="359"/>
      <c r="N3" s="359"/>
    </row>
    <row r="4" spans="1:61" s="189" customFormat="1" x14ac:dyDescent="0.3">
      <c r="G4" s="359"/>
      <c r="H4" s="359"/>
      <c r="I4" s="359"/>
      <c r="J4" s="359"/>
      <c r="K4" s="359"/>
      <c r="L4" s="359"/>
      <c r="M4" s="359"/>
      <c r="N4" s="359"/>
    </row>
    <row r="5" spans="1:61" s="189" customFormat="1" x14ac:dyDescent="0.3"/>
    <row r="6" spans="1:61" x14ac:dyDescent="0.3">
      <c r="A6" s="189"/>
      <c r="B6" s="362" t="s">
        <v>1159</v>
      </c>
      <c r="C6" s="362"/>
      <c r="D6" s="362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/>
      <c r="AE6" s="189"/>
      <c r="AF6" s="189"/>
      <c r="AG6" s="189"/>
      <c r="AH6" s="189"/>
      <c r="AI6" s="189"/>
      <c r="AJ6" s="189"/>
      <c r="AK6" s="189"/>
      <c r="AL6" s="189"/>
      <c r="AM6" s="189"/>
      <c r="AN6" s="189"/>
      <c r="AO6" s="189"/>
      <c r="AP6" s="189"/>
      <c r="AQ6" s="189"/>
      <c r="AR6" s="189"/>
      <c r="AS6" s="189"/>
      <c r="AT6" s="189"/>
      <c r="AU6" s="189"/>
      <c r="AV6" s="189"/>
      <c r="AW6" s="189"/>
      <c r="AX6" s="189"/>
      <c r="AY6" s="189"/>
      <c r="AZ6" s="189"/>
      <c r="BA6" s="189"/>
      <c r="BB6" s="189"/>
      <c r="BC6" s="189"/>
      <c r="BD6" s="189"/>
      <c r="BE6" s="189"/>
    </row>
    <row r="7" spans="1:61" x14ac:dyDescent="0.3">
      <c r="A7" s="189"/>
      <c r="B7" s="362"/>
      <c r="C7" s="362"/>
      <c r="D7" s="362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189"/>
      <c r="Z7" s="189"/>
      <c r="AA7" s="189"/>
      <c r="AB7" s="189"/>
      <c r="AC7" s="189"/>
      <c r="AD7" s="189"/>
      <c r="AE7" s="189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  <c r="AU7" s="191"/>
      <c r="AV7" s="191"/>
      <c r="AW7" s="191"/>
      <c r="AX7" s="191"/>
      <c r="AY7" s="191"/>
      <c r="AZ7" s="191"/>
      <c r="BA7" s="191"/>
      <c r="BB7" s="191"/>
      <c r="BC7" s="191"/>
      <c r="BD7" s="191"/>
      <c r="BE7" s="191"/>
      <c r="BF7" s="191"/>
      <c r="BG7" s="191"/>
      <c r="BH7" s="191"/>
      <c r="BI7" s="191"/>
    </row>
    <row r="8" spans="1:61" x14ac:dyDescent="0.3">
      <c r="A8" s="189"/>
      <c r="B8" s="363" t="s">
        <v>738</v>
      </c>
      <c r="C8" s="363"/>
      <c r="D8" s="363"/>
      <c r="E8" s="189"/>
      <c r="F8" s="360" t="s">
        <v>1161</v>
      </c>
      <c r="G8" s="361" t="s">
        <v>1162</v>
      </c>
      <c r="H8" s="361"/>
      <c r="I8" s="361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189"/>
      <c r="Z8" s="189"/>
      <c r="AA8" s="189"/>
      <c r="AB8" s="189"/>
      <c r="AC8" s="189"/>
      <c r="AD8" s="189"/>
      <c r="AE8" s="189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1"/>
      <c r="BE8" s="191"/>
      <c r="BF8" s="191"/>
      <c r="BG8" s="191"/>
      <c r="BH8" s="191"/>
      <c r="BI8" s="191"/>
    </row>
    <row r="9" spans="1:61" x14ac:dyDescent="0.3">
      <c r="A9" s="189"/>
      <c r="B9" s="363"/>
      <c r="C9" s="363"/>
      <c r="D9" s="363"/>
      <c r="E9" s="189"/>
      <c r="F9" s="360"/>
      <c r="G9" s="361"/>
      <c r="H9" s="361"/>
      <c r="I9" s="361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1"/>
      <c r="BE9" s="191"/>
      <c r="BF9" s="191"/>
      <c r="BG9" s="191"/>
      <c r="BH9" s="191"/>
      <c r="BI9" s="191"/>
    </row>
    <row r="10" spans="1:61" s="189" customFormat="1" x14ac:dyDescent="0.3"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1"/>
      <c r="BE10" s="191"/>
      <c r="BF10" s="191"/>
      <c r="BG10" s="191"/>
      <c r="BH10" s="191"/>
      <c r="BI10" s="191"/>
    </row>
    <row r="11" spans="1:61" s="189" customFormat="1" x14ac:dyDescent="0.3"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191"/>
    </row>
    <row r="12" spans="1:61" s="189" customFormat="1" x14ac:dyDescent="0.3"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191"/>
    </row>
    <row r="13" spans="1:61" s="207" customFormat="1" x14ac:dyDescent="0.3">
      <c r="A13" s="207" t="s">
        <v>455</v>
      </c>
      <c r="B13" s="207" t="s">
        <v>456</v>
      </c>
      <c r="C13" s="207" t="s">
        <v>457</v>
      </c>
      <c r="D13" s="207" t="s">
        <v>12</v>
      </c>
      <c r="E13" s="207" t="s">
        <v>11</v>
      </c>
      <c r="F13" s="207" t="s">
        <v>10</v>
      </c>
      <c r="G13" s="207" t="s">
        <v>192</v>
      </c>
      <c r="H13" s="207" t="s">
        <v>9</v>
      </c>
      <c r="I13" s="207" t="s">
        <v>15</v>
      </c>
      <c r="J13" s="207" t="s">
        <v>14</v>
      </c>
      <c r="K13" s="207" t="s">
        <v>13</v>
      </c>
      <c r="L13" s="207" t="s">
        <v>16</v>
      </c>
      <c r="M13" s="207" t="s">
        <v>458</v>
      </c>
      <c r="N13" s="207" t="s">
        <v>454</v>
      </c>
      <c r="O13" s="207" t="s">
        <v>459</v>
      </c>
      <c r="P13" s="207" t="s">
        <v>337</v>
      </c>
      <c r="Q13" s="207" t="s">
        <v>338</v>
      </c>
      <c r="R13" s="207" t="s">
        <v>460</v>
      </c>
      <c r="S13" s="207" t="s">
        <v>461</v>
      </c>
      <c r="T13" s="207" t="s">
        <v>462</v>
      </c>
      <c r="U13" s="207" t="s">
        <v>463</v>
      </c>
      <c r="V13" s="207" t="s">
        <v>464</v>
      </c>
      <c r="W13" s="207" t="s">
        <v>465</v>
      </c>
      <c r="X13" s="207" t="s">
        <v>466</v>
      </c>
      <c r="Y13" s="207" t="s">
        <v>467</v>
      </c>
      <c r="Z13" s="207" t="s">
        <v>468</v>
      </c>
      <c r="AA13" s="207" t="s">
        <v>469</v>
      </c>
      <c r="AB13" s="207" t="s">
        <v>17</v>
      </c>
      <c r="AC13" s="207" t="s">
        <v>18</v>
      </c>
      <c r="AD13" s="207" t="s">
        <v>19</v>
      </c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</row>
    <row r="14" spans="1:61" s="189" customFormat="1" x14ac:dyDescent="0.3"/>
    <row r="15" spans="1:61" s="189" customFormat="1" x14ac:dyDescent="0.3"/>
    <row r="16" spans="1:61" s="190" customFormat="1" x14ac:dyDescent="0.3">
      <c r="A16" s="190" t="str">
        <f>IFERROR(INDEX('DATA DUMP'!$A$2:$AD$723, MATCH($B$8,'DATA DUMP'!$A2:$A723, 0), COLUMN()),"")</f>
        <v>James Parish</v>
      </c>
      <c r="B16" s="211" t="str">
        <f>IFERROR(INDEX('DATA DUMP'!$A$2:$AD$723, MATCH($B$8,'DATA DUMP'!$A2:$A723, 0), COLUMN()),"")</f>
        <v>FF</v>
      </c>
      <c r="C16" s="211" t="str">
        <f>IFERROR(INDEX('DATA DUMP'!$A$2:$AD$723, MATCH($B$8,'DATA DUMP'!$A2:$A723, 0), COLUMN()),"")</f>
        <v>A27</v>
      </c>
      <c r="D16" s="211">
        <f>IFERROR(INDEX('DATA DUMP'!$A$2:$AD$723, MATCH($B$8,'DATA DUMP'!$A2:$A723, 0), COLUMN()),"")</f>
        <v>1</v>
      </c>
      <c r="E16" s="211">
        <f>IFERROR(INDEX('DATA DUMP'!$A$2:$AD$723, MATCH($B$8,'DATA DUMP'!$A2:$A723, 0), COLUMN()),"")</f>
        <v>0</v>
      </c>
      <c r="F16" s="211">
        <f>IFERROR(INDEX('DATA DUMP'!$A$2:$AD$723, MATCH($B$8,'DATA DUMP'!$A2:$A723, 0), COLUMN()),"")</f>
        <v>0</v>
      </c>
      <c r="G16" s="211">
        <f>IFERROR(INDEX('DATA DUMP'!$A$2:$AD$723, MATCH($B$8,'DATA DUMP'!$A2:$A723, 0), COLUMN()),"")</f>
        <v>0</v>
      </c>
      <c r="H16" s="211">
        <f>IFERROR(INDEX('DATA DUMP'!$A$2:$AD$723, MATCH($B$8,'DATA DUMP'!$A2:$A723, 0), COLUMN()),"")</f>
        <v>0</v>
      </c>
      <c r="I16" s="211">
        <f>IFERROR(INDEX('DATA DUMP'!$A$2:$AD$723, MATCH($B$8,'DATA DUMP'!$A2:$A723, 0), COLUMN()),"")</f>
        <v>0</v>
      </c>
      <c r="J16" s="211">
        <f>IFERROR(INDEX('DATA DUMP'!$A$2:$AD$723, MATCH($B$8,'DATA DUMP'!$A2:$A723, 0), COLUMN()),"")</f>
        <v>0</v>
      </c>
      <c r="K16" s="211">
        <f>IFERROR(INDEX('DATA DUMP'!$A$2:$AD$723, MATCH($B$8,'DATA DUMP'!$A2:$A723, 0), COLUMN()),"")</f>
        <v>0</v>
      </c>
      <c r="L16" s="211">
        <f>IFERROR(INDEX('DATA DUMP'!$A$2:$AD$723, MATCH($B$8,'DATA DUMP'!$A2:$A723, 0), COLUMN()),"")</f>
        <v>0</v>
      </c>
      <c r="M16" s="211">
        <f>IFERROR(INDEX('DATA DUMP'!$A$2:$AD$723, MATCH($B$8,'DATA DUMP'!$A2:$A723, 0), COLUMN()),"")</f>
        <v>0</v>
      </c>
      <c r="N16" s="211">
        <f>IFERROR(INDEX('DATA DUMP'!$A$2:$AD$723, MATCH($B$8,'DATA DUMP'!$A2:$A723, 0), COLUMN()),"")</f>
        <v>1</v>
      </c>
      <c r="O16" s="211">
        <f>IFERROR(INDEX('DATA DUMP'!$A$2:$AD$723, MATCH($B$8,'DATA DUMP'!$A2:$A723, 0), COLUMN()),"")</f>
        <v>0</v>
      </c>
      <c r="P16" s="211">
        <f>IFERROR(INDEX('DATA DUMP'!$A$2:$AD$723, MATCH($B$8,'DATA DUMP'!$A2:$A723, 0), COLUMN()),"")</f>
        <v>0</v>
      </c>
      <c r="Q16" s="211">
        <f>IFERROR(INDEX('DATA DUMP'!$A$2:$AD$723, MATCH($B$8,'DATA DUMP'!$A2:$A723, 0), COLUMN()),"")</f>
        <v>0</v>
      </c>
      <c r="R16" s="211">
        <f>IFERROR(INDEX('DATA DUMP'!$A$2:$AD$723, MATCH($B$8,'DATA DUMP'!$A2:$A723, 0), COLUMN()),"")</f>
        <v>0</v>
      </c>
      <c r="S16" s="211">
        <f>IFERROR(INDEX('DATA DUMP'!$A$2:$AD$723, MATCH($B$8,'DATA DUMP'!$A2:$A723, 0), COLUMN()),"")</f>
        <v>0</v>
      </c>
      <c r="T16" s="211">
        <f>IFERROR(INDEX('DATA DUMP'!$A$2:$AD$723, MATCH($B$8,'DATA DUMP'!$A2:$A723, 0), COLUMN()),"")</f>
        <v>0</v>
      </c>
      <c r="U16" s="211">
        <f>IFERROR(INDEX('DATA DUMP'!$A$2:$AD$723, MATCH($B$8,'DATA DUMP'!$A2:$A723, 0), COLUMN()),"")</f>
        <v>0</v>
      </c>
      <c r="V16" s="211">
        <f>IFERROR(INDEX('DATA DUMP'!$A$2:$AD$723, MATCH($B$8,'DATA DUMP'!$A2:$A723, 0), COLUMN()),"")</f>
        <v>0</v>
      </c>
      <c r="W16" s="211">
        <f>IFERROR(INDEX('DATA DUMP'!$A$2:$AD$723, MATCH($B$8,'DATA DUMP'!$A2:$A723, 0), COLUMN()),"")</f>
        <v>0</v>
      </c>
      <c r="X16" s="211">
        <f>IFERROR(INDEX('DATA DUMP'!$A$2:$AD$723, MATCH($B$8,'DATA DUMP'!$A2:$A723, 0), COLUMN()),"")</f>
        <v>0</v>
      </c>
      <c r="Y16" s="211">
        <f>IFERROR(INDEX('DATA DUMP'!$A$2:$AD$723, MATCH($B$8,'DATA DUMP'!$A2:$A723, 0), COLUMN()),"")</f>
        <v>0</v>
      </c>
      <c r="Z16" s="211">
        <f>IFERROR(INDEX('DATA DUMP'!$A$2:$AD$723, MATCH($B$8,'DATA DUMP'!$A2:$A723, 0), COLUMN()),"")</f>
        <v>0</v>
      </c>
      <c r="AA16" s="211">
        <f>IFERROR(INDEX('DATA DUMP'!$A$2:$AD$723, MATCH($B$8,'DATA DUMP'!$A2:$A723, 0), COLUMN()),"")</f>
        <v>0</v>
      </c>
      <c r="AB16" s="211">
        <f>IFERROR(INDEX('DATA DUMP'!$A$2:$AD$723, MATCH($B$8,'DATA DUMP'!$A2:$A723, 0), COLUMN()),"")</f>
        <v>0</v>
      </c>
      <c r="AC16" s="211">
        <f>IFERROR(INDEX('DATA DUMP'!$A$2:$AD$723, MATCH($B$8,'DATA DUMP'!$A2:$A723, 0), COLUMN()),"")</f>
        <v>0</v>
      </c>
      <c r="AD16" s="211">
        <f>IFERROR(INDEX('DATA DUMP'!$A$2:$AD$723, MATCH($B$8,'DATA DUMP'!$A2:$A723, 0), COLUMN()),"")</f>
        <v>0</v>
      </c>
    </row>
    <row r="17" spans="4:17" s="189" customFormat="1" x14ac:dyDescent="0.3"/>
    <row r="18" spans="4:17" s="189" customFormat="1" x14ac:dyDescent="0.3"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</row>
    <row r="19" spans="4:17" s="189" customFormat="1" x14ac:dyDescent="0.3"/>
    <row r="20" spans="4:17" s="189" customFormat="1" x14ac:dyDescent="0.3"/>
    <row r="21" spans="4:17" s="189" customFormat="1" x14ac:dyDescent="0.3"/>
    <row r="22" spans="4:17" s="189" customFormat="1" x14ac:dyDescent="0.3"/>
    <row r="23" spans="4:17" s="189" customFormat="1" x14ac:dyDescent="0.3"/>
    <row r="24" spans="4:17" s="189" customFormat="1" x14ac:dyDescent="0.3"/>
    <row r="25" spans="4:17" s="189" customFormat="1" x14ac:dyDescent="0.3"/>
    <row r="26" spans="4:17" s="189" customFormat="1" x14ac:dyDescent="0.3"/>
    <row r="27" spans="4:17" s="189" customFormat="1" x14ac:dyDescent="0.3"/>
    <row r="28" spans="4:17" s="189" customFormat="1" x14ac:dyDescent="0.3"/>
    <row r="29" spans="4:17" s="189" customFormat="1" x14ac:dyDescent="0.3"/>
    <row r="30" spans="4:17" s="189" customFormat="1" x14ac:dyDescent="0.3"/>
    <row r="31" spans="4:17" s="189" customFormat="1" x14ac:dyDescent="0.3"/>
    <row r="32" spans="4:17" s="189" customFormat="1" x14ac:dyDescent="0.3"/>
    <row r="33" s="189" customFormat="1" x14ac:dyDescent="0.3"/>
    <row r="34" s="189" customFormat="1" x14ac:dyDescent="0.3"/>
    <row r="35" s="189" customFormat="1" x14ac:dyDescent="0.3"/>
    <row r="36" s="189" customFormat="1" x14ac:dyDescent="0.3"/>
    <row r="37" s="189" customFormat="1" x14ac:dyDescent="0.3"/>
    <row r="38" s="189" customFormat="1" x14ac:dyDescent="0.3"/>
    <row r="39" s="189" customFormat="1" x14ac:dyDescent="0.3"/>
    <row r="40" s="189" customFormat="1" x14ac:dyDescent="0.3"/>
    <row r="41" s="189" customFormat="1" x14ac:dyDescent="0.3"/>
    <row r="42" s="189" customFormat="1" x14ac:dyDescent="0.3"/>
    <row r="43" s="189" customFormat="1" x14ac:dyDescent="0.3"/>
    <row r="44" s="189" customFormat="1" x14ac:dyDescent="0.3"/>
    <row r="45" s="189" customFormat="1" x14ac:dyDescent="0.3"/>
    <row r="46" s="189" customFormat="1" x14ac:dyDescent="0.3"/>
    <row r="47" s="189" customFormat="1" x14ac:dyDescent="0.3"/>
    <row r="48" s="189" customFormat="1" x14ac:dyDescent="0.3"/>
    <row r="49" s="189" customFormat="1" x14ac:dyDescent="0.3"/>
    <row r="50" s="189" customFormat="1" x14ac:dyDescent="0.3"/>
    <row r="51" s="189" customFormat="1" x14ac:dyDescent="0.3"/>
    <row r="52" s="189" customFormat="1" x14ac:dyDescent="0.3"/>
    <row r="53" s="189" customFormat="1" x14ac:dyDescent="0.3"/>
    <row r="54" s="189" customFormat="1" x14ac:dyDescent="0.3"/>
    <row r="55" s="189" customFormat="1" x14ac:dyDescent="0.3"/>
    <row r="56" s="189" customFormat="1" x14ac:dyDescent="0.3"/>
    <row r="57" s="189" customFormat="1" x14ac:dyDescent="0.3"/>
    <row r="58" s="189" customFormat="1" x14ac:dyDescent="0.3"/>
    <row r="59" s="189" customFormat="1" x14ac:dyDescent="0.3"/>
    <row r="60" s="189" customFormat="1" x14ac:dyDescent="0.3"/>
    <row r="61" s="189" customFormat="1" x14ac:dyDescent="0.3"/>
    <row r="62" s="189" customFormat="1" x14ac:dyDescent="0.3"/>
    <row r="63" s="189" customFormat="1" x14ac:dyDescent="0.3"/>
    <row r="64" s="189" customFormat="1" x14ac:dyDescent="0.3"/>
    <row r="65" s="189" customFormat="1" x14ac:dyDescent="0.3"/>
    <row r="66" s="189" customFormat="1" x14ac:dyDescent="0.3"/>
    <row r="67" s="189" customFormat="1" x14ac:dyDescent="0.3"/>
    <row r="68" s="189" customFormat="1" x14ac:dyDescent="0.3"/>
    <row r="69" s="189" customFormat="1" x14ac:dyDescent="0.3"/>
    <row r="70" s="189" customFormat="1" x14ac:dyDescent="0.3"/>
    <row r="71" s="189" customFormat="1" x14ac:dyDescent="0.3"/>
    <row r="72" s="189" customFormat="1" x14ac:dyDescent="0.3"/>
    <row r="73" s="189" customFormat="1" x14ac:dyDescent="0.3"/>
    <row r="74" s="189" customFormat="1" x14ac:dyDescent="0.3"/>
    <row r="75" s="189" customFormat="1" x14ac:dyDescent="0.3"/>
    <row r="76" s="189" customFormat="1" x14ac:dyDescent="0.3"/>
    <row r="77" s="189" customFormat="1" x14ac:dyDescent="0.3"/>
    <row r="78" s="189" customFormat="1" x14ac:dyDescent="0.3"/>
    <row r="79" s="189" customFormat="1" x14ac:dyDescent="0.3"/>
    <row r="80" s="189" customFormat="1" x14ac:dyDescent="0.3"/>
    <row r="81" s="189" customFormat="1" x14ac:dyDescent="0.3"/>
    <row r="82" s="189" customFormat="1" x14ac:dyDescent="0.3"/>
    <row r="83" s="189" customFormat="1" x14ac:dyDescent="0.3"/>
    <row r="84" s="189" customFormat="1" x14ac:dyDescent="0.3"/>
    <row r="85" s="189" customFormat="1" x14ac:dyDescent="0.3"/>
    <row r="86" s="189" customFormat="1" x14ac:dyDescent="0.3"/>
    <row r="87" s="189" customFormat="1" x14ac:dyDescent="0.3"/>
    <row r="88" s="189" customFormat="1" x14ac:dyDescent="0.3"/>
    <row r="89" s="189" customFormat="1" x14ac:dyDescent="0.3"/>
    <row r="90" s="189" customFormat="1" x14ac:dyDescent="0.3"/>
    <row r="91" s="189" customFormat="1" x14ac:dyDescent="0.3"/>
    <row r="92" s="189" customFormat="1" x14ac:dyDescent="0.3"/>
    <row r="93" s="189" customFormat="1" x14ac:dyDescent="0.3"/>
    <row r="94" s="189" customFormat="1" x14ac:dyDescent="0.3"/>
    <row r="95" s="189" customFormat="1" x14ac:dyDescent="0.3"/>
    <row r="96" s="189" customFormat="1" x14ac:dyDescent="0.3"/>
    <row r="97" s="189" customFormat="1" x14ac:dyDescent="0.3"/>
    <row r="98" s="189" customFormat="1" x14ac:dyDescent="0.3"/>
    <row r="99" s="189" customFormat="1" x14ac:dyDescent="0.3"/>
    <row r="100" s="189" customFormat="1" x14ac:dyDescent="0.3"/>
    <row r="101" s="189" customFormat="1" x14ac:dyDescent="0.3"/>
    <row r="102" s="189" customFormat="1" x14ac:dyDescent="0.3"/>
    <row r="103" s="189" customFormat="1" x14ac:dyDescent="0.3"/>
  </sheetData>
  <sheetProtection selectLockedCells="1"/>
  <mergeCells count="5">
    <mergeCell ref="G1:N4"/>
    <mergeCell ref="F8:F9"/>
    <mergeCell ref="G8:I9"/>
    <mergeCell ref="B6:D7"/>
    <mergeCell ref="B8:D9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AC41"/>
  <sheetViews>
    <sheetView showRowColHeaders="0" showZeros="0" workbookViewId="0">
      <selection activeCell="A4" sqref="A4:XFD4"/>
    </sheetView>
  </sheetViews>
  <sheetFormatPr defaultColWidth="9.109375" defaultRowHeight="14.4" x14ac:dyDescent="0.3"/>
  <cols>
    <col min="1" max="16384" width="9.109375" style="145"/>
  </cols>
  <sheetData>
    <row r="1" spans="1:29" ht="14.4" customHeight="1" x14ac:dyDescent="0.3">
      <c r="A1" s="146"/>
      <c r="B1" s="146"/>
      <c r="C1" s="146"/>
      <c r="D1" s="146"/>
      <c r="E1" s="364" t="s">
        <v>452</v>
      </c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146"/>
      <c r="V1" s="146"/>
      <c r="W1" s="146"/>
      <c r="X1" s="146"/>
      <c r="Y1" s="146"/>
      <c r="Z1" s="146"/>
      <c r="AA1" s="146"/>
      <c r="AB1" s="146"/>
      <c r="AC1" s="146"/>
    </row>
    <row r="2" spans="1:29" ht="14.4" customHeight="1" x14ac:dyDescent="0.3">
      <c r="A2" s="146"/>
      <c r="B2" s="146"/>
      <c r="C2" s="146"/>
      <c r="D2" s="146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146"/>
      <c r="V2" s="146"/>
      <c r="W2" s="146"/>
      <c r="X2" s="146"/>
      <c r="Y2" s="146"/>
      <c r="Z2" s="146"/>
      <c r="AA2" s="146"/>
      <c r="AB2" s="146"/>
      <c r="AC2" s="146"/>
    </row>
    <row r="3" spans="1:29" s="365" customFormat="1" x14ac:dyDescent="0.3"/>
    <row r="4" spans="1:29" s="365" customFormat="1" ht="15" x14ac:dyDescent="0.25"/>
    <row r="5" spans="1:29" s="365" customFormat="1" ht="15" x14ac:dyDescent="0.25"/>
    <row r="6" spans="1:29" s="365" customFormat="1" ht="15" x14ac:dyDescent="0.25"/>
    <row r="7" spans="1:29" s="365" customFormat="1" ht="15" x14ac:dyDescent="0.25"/>
    <row r="8" spans="1:29" s="365" customFormat="1" ht="15" x14ac:dyDescent="0.25"/>
    <row r="9" spans="1:29" s="365" customFormat="1" ht="15" x14ac:dyDescent="0.25"/>
    <row r="10" spans="1:29" s="365" customFormat="1" ht="15" x14ac:dyDescent="0.25"/>
    <row r="11" spans="1:29" s="365" customFormat="1" ht="15" x14ac:dyDescent="0.25"/>
    <row r="12" spans="1:29" s="365" customFormat="1" ht="15" x14ac:dyDescent="0.25"/>
    <row r="13" spans="1:29" s="365" customFormat="1" ht="15" x14ac:dyDescent="0.25"/>
    <row r="14" spans="1:29" s="365" customFormat="1" ht="15" x14ac:dyDescent="0.25"/>
    <row r="15" spans="1:29" s="365" customFormat="1" ht="15" x14ac:dyDescent="0.25"/>
    <row r="16" spans="1:29" s="365" customFormat="1" x14ac:dyDescent="0.3"/>
    <row r="17" s="365" customFormat="1" x14ac:dyDescent="0.3"/>
    <row r="18" s="365" customFormat="1" x14ac:dyDescent="0.3"/>
    <row r="19" s="365" customFormat="1" x14ac:dyDescent="0.3"/>
    <row r="20" s="365" customFormat="1" x14ac:dyDescent="0.3"/>
    <row r="21" s="365" customFormat="1" x14ac:dyDescent="0.3"/>
    <row r="22" s="365" customFormat="1" x14ac:dyDescent="0.3"/>
    <row r="23" s="365" customFormat="1" x14ac:dyDescent="0.3"/>
    <row r="24" s="365" customFormat="1" x14ac:dyDescent="0.3"/>
    <row r="25" s="365" customFormat="1" x14ac:dyDescent="0.3"/>
    <row r="26" s="365" customFormat="1" x14ac:dyDescent="0.3"/>
    <row r="27" s="365" customFormat="1" x14ac:dyDescent="0.3"/>
    <row r="28" s="365" customFormat="1" x14ac:dyDescent="0.3"/>
    <row r="29" s="365" customFormat="1" x14ac:dyDescent="0.3"/>
    <row r="30" s="365" customFormat="1" x14ac:dyDescent="0.3"/>
    <row r="31" s="365" customFormat="1" x14ac:dyDescent="0.3"/>
    <row r="32" s="365" customFormat="1" x14ac:dyDescent="0.3"/>
    <row r="33" s="365" customFormat="1" x14ac:dyDescent="0.3"/>
    <row r="34" s="365" customFormat="1" x14ac:dyDescent="0.3"/>
    <row r="35" s="365" customFormat="1" x14ac:dyDescent="0.3"/>
    <row r="36" s="365" customFormat="1" x14ac:dyDescent="0.3"/>
    <row r="37" s="365" customFormat="1" x14ac:dyDescent="0.3"/>
    <row r="38" s="365" customFormat="1" x14ac:dyDescent="0.3"/>
    <row r="39" s="365" customFormat="1" x14ac:dyDescent="0.3"/>
    <row r="40" s="365" customFormat="1" x14ac:dyDescent="0.3"/>
    <row r="41" s="365" customFormat="1" x14ac:dyDescent="0.3"/>
  </sheetData>
  <mergeCells count="40">
    <mergeCell ref="A17:XFD17"/>
    <mergeCell ref="A41:XFD41"/>
    <mergeCell ref="A40:XFD40"/>
    <mergeCell ref="A39:XFD39"/>
    <mergeCell ref="A38:XFD38"/>
    <mergeCell ref="A37:XFD37"/>
    <mergeCell ref="A36:XFD36"/>
    <mergeCell ref="A23:XFD23"/>
    <mergeCell ref="A22:XFD22"/>
    <mergeCell ref="A21:XFD21"/>
    <mergeCell ref="A20:XFD20"/>
    <mergeCell ref="A19:XFD19"/>
    <mergeCell ref="A18:XFD18"/>
    <mergeCell ref="A29:XFD29"/>
    <mergeCell ref="A28:XFD28"/>
    <mergeCell ref="A30:XFD30"/>
    <mergeCell ref="A27:XFD27"/>
    <mergeCell ref="A26:XFD26"/>
    <mergeCell ref="A25:XFD25"/>
    <mergeCell ref="A24:XFD24"/>
    <mergeCell ref="A35:XFD35"/>
    <mergeCell ref="A34:XFD34"/>
    <mergeCell ref="A33:XFD33"/>
    <mergeCell ref="A32:XFD32"/>
    <mergeCell ref="A31:XFD31"/>
    <mergeCell ref="E1:T2"/>
    <mergeCell ref="A3:XFD3"/>
    <mergeCell ref="A16:XFD16"/>
    <mergeCell ref="A15:XFD15"/>
    <mergeCell ref="A14:XFD14"/>
    <mergeCell ref="A13:XFD13"/>
    <mergeCell ref="A12:XFD12"/>
    <mergeCell ref="A11:XFD11"/>
    <mergeCell ref="A10:XFD10"/>
    <mergeCell ref="A9:XFD9"/>
    <mergeCell ref="A8:XFD8"/>
    <mergeCell ref="A6:XFD6"/>
    <mergeCell ref="A5:XFD5"/>
    <mergeCell ref="A4:XFD4"/>
    <mergeCell ref="A7:XFD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50"/>
  <sheetViews>
    <sheetView showRowColHeaders="0" workbookViewId="0">
      <selection activeCell="B15" sqref="B15"/>
    </sheetView>
  </sheetViews>
  <sheetFormatPr defaultRowHeight="14.4" x14ac:dyDescent="0.3"/>
  <cols>
    <col min="1" max="1" width="25.88671875" customWidth="1"/>
    <col min="2" max="2" width="24.6640625" customWidth="1"/>
    <col min="3" max="3" width="24.109375" customWidth="1"/>
  </cols>
  <sheetData>
    <row r="1" spans="1:24" ht="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1:24" ht="15" x14ac:dyDescent="0.25">
      <c r="A3" s="4"/>
      <c r="B3" s="4"/>
      <c r="C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15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24" ht="15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1:24" ht="15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1:24" ht="15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1:24" ht="15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1:24" ht="15" customHeight="1" x14ac:dyDescent="0.3">
      <c r="A9" s="366" t="s">
        <v>448</v>
      </c>
      <c r="B9" s="366"/>
      <c r="C9" s="366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1:24" x14ac:dyDescent="0.3">
      <c r="A10" s="366"/>
      <c r="B10" s="366"/>
      <c r="C10" s="366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1:24" ht="1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1:24" ht="15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1:24" ht="15" x14ac:dyDescent="0.25">
      <c r="A13" s="120" t="s">
        <v>443</v>
      </c>
      <c r="B13" s="120" t="s">
        <v>444</v>
      </c>
      <c r="C13" s="120" t="s">
        <v>225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1:24" ht="15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ht="15" x14ac:dyDescent="0.25">
      <c r="A15" s="127">
        <f ca="1">NOW()</f>
        <v>42990.67811400463</v>
      </c>
      <c r="B15" s="119"/>
      <c r="C15" s="11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1:24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1:24" x14ac:dyDescent="0.3">
      <c r="A17" s="120" t="s">
        <v>445</v>
      </c>
      <c r="B17" s="120" t="s">
        <v>446</v>
      </c>
      <c r="C17" s="12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1:24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4" x14ac:dyDescent="0.3">
      <c r="A19" s="119"/>
      <c r="B19" s="123"/>
      <c r="C19" s="122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1:24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1:24" x14ac:dyDescent="0.3">
      <c r="A21" s="367" t="s">
        <v>447</v>
      </c>
      <c r="B21" s="367"/>
      <c r="C21" s="367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1:24" x14ac:dyDescent="0.3">
      <c r="A22" s="368"/>
      <c r="B22" s="369"/>
      <c r="C22" s="370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1:24" x14ac:dyDescent="0.3">
      <c r="A23" s="368"/>
      <c r="B23" s="369"/>
      <c r="C23" s="370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1:24" x14ac:dyDescent="0.3">
      <c r="A24" s="368"/>
      <c r="B24" s="369"/>
      <c r="C24" s="370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1:24" x14ac:dyDescent="0.3">
      <c r="A25" s="368"/>
      <c r="B25" s="369"/>
      <c r="C25" s="370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1:24" x14ac:dyDescent="0.3">
      <c r="A26" s="368"/>
      <c r="B26" s="369"/>
      <c r="C26" s="370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1:24" x14ac:dyDescent="0.3">
      <c r="A27" s="368"/>
      <c r="B27" s="369"/>
      <c r="C27" s="370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1:24" x14ac:dyDescent="0.3">
      <c r="A28" s="368"/>
      <c r="B28" s="369"/>
      <c r="C28" s="370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1:24" x14ac:dyDescent="0.3">
      <c r="A29" s="368"/>
      <c r="B29" s="369"/>
      <c r="C29" s="370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1:24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1:24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1:24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1:24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:24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:2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:24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:24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:24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:24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:24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4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:24" x14ac:dyDescent="0.3">
      <c r="A42" s="4"/>
      <c r="B42" s="4"/>
      <c r="C42" s="4"/>
      <c r="D42" s="4"/>
    </row>
    <row r="43" spans="1:24" x14ac:dyDescent="0.3">
      <c r="A43" s="4"/>
      <c r="B43" s="4"/>
      <c r="C43" s="4"/>
      <c r="D43" s="4"/>
    </row>
    <row r="44" spans="1:24" x14ac:dyDescent="0.3">
      <c r="A44" s="4"/>
      <c r="B44" s="4"/>
      <c r="C44" s="4"/>
      <c r="D44" s="4"/>
    </row>
    <row r="45" spans="1:24" x14ac:dyDescent="0.3">
      <c r="A45" s="4"/>
      <c r="B45" s="4"/>
      <c r="C45" s="4"/>
      <c r="D45" s="4"/>
    </row>
    <row r="46" spans="1:24" x14ac:dyDescent="0.3">
      <c r="A46" s="4"/>
      <c r="B46" s="4"/>
      <c r="C46" s="4"/>
      <c r="D46" s="4"/>
    </row>
    <row r="47" spans="1:24" x14ac:dyDescent="0.3">
      <c r="A47" s="4"/>
      <c r="B47" s="4"/>
      <c r="C47" s="4"/>
      <c r="D47" s="4"/>
    </row>
    <row r="48" spans="1:24" x14ac:dyDescent="0.3">
      <c r="A48" s="4"/>
      <c r="B48" s="4"/>
      <c r="C48" s="4"/>
      <c r="D48" s="4"/>
    </row>
    <row r="49" spans="1:4" x14ac:dyDescent="0.3">
      <c r="A49" s="4"/>
      <c r="B49" s="4"/>
      <c r="C49" s="4"/>
      <c r="D49" s="4"/>
    </row>
    <row r="50" spans="1:4" x14ac:dyDescent="0.3">
      <c r="D50" s="4"/>
    </row>
  </sheetData>
  <sheetProtection password="EADB" sheet="1" objects="1" scenarios="1" selectLockedCells="1"/>
  <mergeCells count="10">
    <mergeCell ref="A9:C10"/>
    <mergeCell ref="A21:C21"/>
    <mergeCell ref="A29:C29"/>
    <mergeCell ref="A28:C28"/>
    <mergeCell ref="A27:C27"/>
    <mergeCell ref="A26:C26"/>
    <mergeCell ref="A25:C25"/>
    <mergeCell ref="A24:C24"/>
    <mergeCell ref="A23:C23"/>
    <mergeCell ref="A22:C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ndPDF">
                <anchor moveWithCells="1" sizeWithCells="1">
                  <from>
                    <xdr:col>0</xdr:col>
                    <xdr:colOff>723900</xdr:colOff>
                    <xdr:row>29</xdr:row>
                    <xdr:rowOff>60960</xdr:rowOff>
                  </from>
                  <to>
                    <xdr:col>2</xdr:col>
                    <xdr:colOff>982980</xdr:colOff>
                    <xdr:row>32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BI288"/>
  <sheetViews>
    <sheetView topLeftCell="R1" zoomScaleNormal="100" workbookViewId="0">
      <selection activeCell="AE32" sqref="AE32"/>
    </sheetView>
  </sheetViews>
  <sheetFormatPr defaultColWidth="9.109375" defaultRowHeight="14.4" x14ac:dyDescent="0.3"/>
  <cols>
    <col min="1" max="3" width="9.109375" style="37"/>
    <col min="4" max="4" width="30.109375" style="37" customWidth="1"/>
    <col min="5" max="7" width="9.109375" style="37"/>
    <col min="8" max="8" width="9.109375" style="41"/>
    <col min="9" max="9" width="22.6640625" style="37" customWidth="1"/>
    <col min="10" max="39" width="9.109375" style="37"/>
    <col min="40" max="40" width="4" style="37" customWidth="1"/>
    <col min="41" max="41" width="29.88671875" style="37" customWidth="1"/>
    <col min="42" max="50" width="9.109375" style="37"/>
    <col min="51" max="51" width="6" style="37" customWidth="1"/>
    <col min="52" max="52" width="20.6640625" style="37" customWidth="1"/>
    <col min="53" max="16384" width="9.109375" style="37"/>
  </cols>
  <sheetData>
    <row r="1" spans="1:61" ht="15" x14ac:dyDescent="0.25">
      <c r="K1" s="375" t="s">
        <v>224</v>
      </c>
      <c r="L1" s="375"/>
      <c r="M1" s="375"/>
      <c r="N1" s="375"/>
    </row>
    <row r="2" spans="1:61" ht="15" x14ac:dyDescent="0.25">
      <c r="BB2" s="344" t="s">
        <v>340</v>
      </c>
      <c r="BC2" s="344"/>
      <c r="BD2" s="344"/>
      <c r="BE2" s="344"/>
    </row>
    <row r="3" spans="1:61" ht="15" x14ac:dyDescent="0.25">
      <c r="W3" s="373" t="s">
        <v>229</v>
      </c>
      <c r="X3" s="373"/>
      <c r="Y3" s="373"/>
      <c r="Z3" s="373"/>
      <c r="AA3" s="373"/>
      <c r="AB3" s="373"/>
      <c r="AC3" s="373"/>
      <c r="AD3" s="373"/>
      <c r="AE3" s="373"/>
      <c r="AF3" s="373"/>
      <c r="AG3" s="373"/>
      <c r="AH3" s="373"/>
      <c r="AI3" s="373"/>
      <c r="AJ3" s="373"/>
      <c r="AK3" s="373"/>
      <c r="AL3" s="373"/>
      <c r="AO3" s="374" t="s">
        <v>229</v>
      </c>
      <c r="AP3" s="374"/>
      <c r="AQ3" s="374"/>
      <c r="AR3" s="374"/>
      <c r="AS3" s="374"/>
      <c r="AT3" s="374"/>
      <c r="AU3" s="374"/>
      <c r="AV3" s="374"/>
      <c r="AW3" s="374"/>
      <c r="AY3" s="48"/>
      <c r="AZ3" s="374" t="s">
        <v>229</v>
      </c>
      <c r="BA3" s="374"/>
      <c r="BB3" s="374"/>
      <c r="BC3" s="374"/>
      <c r="BD3" s="374"/>
      <c r="BE3" s="374"/>
      <c r="BF3" s="374"/>
      <c r="BG3" s="374"/>
      <c r="BH3" s="374"/>
      <c r="BI3" s="374"/>
    </row>
    <row r="4" spans="1:61" ht="15" x14ac:dyDescent="0.25">
      <c r="AY4" s="48"/>
      <c r="AZ4" s="48"/>
      <c r="BA4" s="48"/>
      <c r="BB4" s="48"/>
      <c r="BC4" s="48"/>
      <c r="BD4" s="48"/>
      <c r="BE4" s="48"/>
    </row>
    <row r="5" spans="1:61" ht="15" x14ac:dyDescent="0.25">
      <c r="O5" s="47"/>
      <c r="X5" s="37" t="s">
        <v>12</v>
      </c>
      <c r="Y5" s="37" t="s">
        <v>11</v>
      </c>
      <c r="Z5" s="37" t="s">
        <v>10</v>
      </c>
      <c r="AA5" s="37" t="s">
        <v>192</v>
      </c>
      <c r="AB5" s="37" t="s">
        <v>9</v>
      </c>
      <c r="AC5" s="37" t="s">
        <v>15</v>
      </c>
      <c r="AD5" s="37" t="s">
        <v>14</v>
      </c>
      <c r="AE5" s="37" t="s">
        <v>13</v>
      </c>
      <c r="AF5" s="37" t="s">
        <v>16</v>
      </c>
      <c r="AG5" s="46" t="s">
        <v>230</v>
      </c>
      <c r="AH5" s="46" t="s">
        <v>230</v>
      </c>
      <c r="AI5" s="46" t="s">
        <v>230</v>
      </c>
      <c r="AJ5" s="37" t="s">
        <v>226</v>
      </c>
      <c r="AK5" s="37" t="s">
        <v>227</v>
      </c>
      <c r="AL5" s="37" t="s">
        <v>228</v>
      </c>
      <c r="AO5" s="37" t="s">
        <v>225</v>
      </c>
      <c r="AP5" s="37" t="s">
        <v>17</v>
      </c>
      <c r="AQ5" s="37" t="s">
        <v>18</v>
      </c>
      <c r="AR5" s="37" t="s">
        <v>19</v>
      </c>
      <c r="AU5" s="37" t="s">
        <v>17</v>
      </c>
      <c r="AV5" s="37" t="s">
        <v>18</v>
      </c>
      <c r="AW5" s="37" t="s">
        <v>19</v>
      </c>
      <c r="AY5" s="48"/>
      <c r="AZ5" s="46" t="s">
        <v>225</v>
      </c>
      <c r="BA5" s="46" t="s">
        <v>336</v>
      </c>
      <c r="BB5" s="46" t="s">
        <v>337</v>
      </c>
      <c r="BC5" s="46" t="s">
        <v>338</v>
      </c>
      <c r="BD5" s="46" t="s">
        <v>339</v>
      </c>
      <c r="BE5" s="48"/>
      <c r="BF5" s="37" t="s">
        <v>336</v>
      </c>
      <c r="BG5" s="37" t="s">
        <v>337</v>
      </c>
      <c r="BH5" s="37" t="s">
        <v>338</v>
      </c>
      <c r="BI5" s="37" t="s">
        <v>339</v>
      </c>
    </row>
    <row r="6" spans="1:61" ht="15" x14ac:dyDescent="0.25">
      <c r="W6" s="37">
        <v>1</v>
      </c>
      <c r="X6" s="36"/>
      <c r="Y6" s="36" t="e">
        <f>VLOOKUP(Summary!H24,D7:U300,MATCH(F7,D7:G7),FALSE)</f>
        <v>#N/A</v>
      </c>
      <c r="Z6" s="36" t="e">
        <f>VLOOKUP(Summary!H24,D7:G300,MATCH(G7,D7:G7),FALSE)</f>
        <v>#N/A</v>
      </c>
      <c r="AA6" s="36" t="e">
        <f>VLOOKUP(Summary!H24,I7:U300,MATCH(J7,I7:L7),FALSE)</f>
        <v>#N/A</v>
      </c>
      <c r="AB6" s="36" t="e">
        <f>VLOOKUP(Summary!H24,I7:U300,MATCH(K7,I7:L7),FALSE)</f>
        <v>#N/A</v>
      </c>
      <c r="AC6" s="36" t="e">
        <f>VLOOKUP(Summary!H24,I7:U300,MATCH(L7,I7:L7),FALSE)</f>
        <v>#N/A</v>
      </c>
      <c r="AD6" s="36" t="e">
        <f>VLOOKUP(Summary!H24,D7:U300,MATCH(M7,D7:U7),FALSE)</f>
        <v>#N/A</v>
      </c>
      <c r="AE6" s="36" t="e">
        <f>VLOOKUP(Summary!H24,I7:U300,MATCH(N7,I7:N7),FALSE)</f>
        <v>#N/A</v>
      </c>
      <c r="AF6" s="36" t="e">
        <f>VLOOKUP(Summary!H24,I7:U300,MATCH(O7,I7:U7),FALSE)</f>
        <v>#N/A</v>
      </c>
      <c r="AG6" s="46"/>
      <c r="AH6" s="46"/>
      <c r="AI6" s="46"/>
      <c r="AJ6" s="36" t="e">
        <f>VLOOKUP(Summary!H24,I7:U300,MATCH(S7,I7:U7),FALSE)</f>
        <v>#N/A</v>
      </c>
      <c r="AK6" s="36" t="e">
        <f>VLOOKUP(Summary!H24,I7:U300,MATCH(T7,I7:U7),FALSE)</f>
        <v>#N/A</v>
      </c>
      <c r="AL6" s="36" t="e">
        <f>VLOOKUP(Summary!H24,I7:U300,MATCH(U7,I7:U7),FALSE)</f>
        <v>#N/A</v>
      </c>
      <c r="AO6" s="65" t="s">
        <v>256</v>
      </c>
      <c r="AP6" s="37">
        <v>1</v>
      </c>
      <c r="AQ6" s="37">
        <v>0</v>
      </c>
      <c r="AR6" s="37">
        <v>0</v>
      </c>
      <c r="AU6" s="36" t="e">
        <f>VLOOKUP(Summary!H24,AO5:AR300,MATCH(AP5,AO5:AR5),FALSE)</f>
        <v>#N/A</v>
      </c>
      <c r="AV6" s="36" t="e">
        <f>VLOOKUP(Summary!H24,AO5:AR300,MATCH(AQ5,AO5:AR5),FALSE)</f>
        <v>#N/A</v>
      </c>
      <c r="AW6" s="36" t="e">
        <f>VLOOKUP(Summary!H24,AO5:AR300,MATCH(AR5,AO5:AR5),FALSE)</f>
        <v>#N/A</v>
      </c>
      <c r="AY6" s="48"/>
      <c r="AZ6" s="65" t="s">
        <v>256</v>
      </c>
      <c r="BA6" s="48">
        <v>1</v>
      </c>
      <c r="BB6" s="63">
        <v>0</v>
      </c>
      <c r="BC6" s="63">
        <v>0</v>
      </c>
      <c r="BD6" s="63">
        <v>0</v>
      </c>
      <c r="BE6" s="48"/>
      <c r="BF6" s="60">
        <v>0</v>
      </c>
      <c r="BG6" s="60">
        <v>0</v>
      </c>
      <c r="BH6" s="60">
        <v>0</v>
      </c>
      <c r="BI6" s="60">
        <v>0</v>
      </c>
    </row>
    <row r="7" spans="1:61" s="8" customFormat="1" ht="15" x14ac:dyDescent="0.25">
      <c r="D7" s="38" t="s">
        <v>225</v>
      </c>
      <c r="E7" s="38" t="s">
        <v>12</v>
      </c>
      <c r="F7" s="38" t="s">
        <v>11</v>
      </c>
      <c r="G7" s="38" t="s">
        <v>10</v>
      </c>
      <c r="H7" s="39"/>
      <c r="I7" s="38" t="s">
        <v>225</v>
      </c>
      <c r="J7" s="38" t="s">
        <v>192</v>
      </c>
      <c r="K7" s="38" t="s">
        <v>9</v>
      </c>
      <c r="L7" s="38" t="s">
        <v>15</v>
      </c>
      <c r="M7" s="38" t="s">
        <v>14</v>
      </c>
      <c r="N7" s="38" t="s">
        <v>13</v>
      </c>
      <c r="O7" s="38" t="s">
        <v>16</v>
      </c>
      <c r="P7" s="38" t="s">
        <v>231</v>
      </c>
      <c r="Q7" s="38" t="s">
        <v>231</v>
      </c>
      <c r="R7" s="38" t="s">
        <v>231</v>
      </c>
      <c r="S7" s="38" t="s">
        <v>226</v>
      </c>
      <c r="T7" s="38" t="s">
        <v>227</v>
      </c>
      <c r="U7" s="38" t="s">
        <v>228</v>
      </c>
      <c r="X7" s="40"/>
      <c r="Y7" s="40"/>
      <c r="Z7" s="40"/>
      <c r="AA7" s="40"/>
      <c r="AB7" s="40"/>
      <c r="AC7" s="40"/>
      <c r="AD7" s="40"/>
      <c r="AE7" s="40"/>
      <c r="AF7" s="40"/>
      <c r="AG7" s="38"/>
      <c r="AH7" s="38"/>
      <c r="AI7" s="38"/>
      <c r="AJ7" s="40"/>
      <c r="AK7" s="40"/>
      <c r="AL7" s="40"/>
      <c r="AO7" s="65" t="s">
        <v>257</v>
      </c>
      <c r="AP7" s="8">
        <v>1</v>
      </c>
      <c r="AQ7" s="8">
        <v>0</v>
      </c>
      <c r="AR7" s="8">
        <v>0</v>
      </c>
      <c r="AU7" s="40" t="e">
        <f>VLOOKUP(Summary!H25,AO5:AR300,MATCH(AP5,AO5:AR5),FALSE)</f>
        <v>#N/A</v>
      </c>
      <c r="AV7" s="40" t="e">
        <f>VLOOKUP(Summary!H25,AO5:AR300,MATCH(AQ5,AO5:AR5),FALSE)</f>
        <v>#N/A</v>
      </c>
      <c r="AW7" s="40" t="e">
        <f>VLOOKUP(Summary!H25,AO5:AR300,MATCH(AR5,AO5:AR5),FALSE)</f>
        <v>#N/A</v>
      </c>
      <c r="AY7" s="9"/>
      <c r="AZ7" s="65" t="s">
        <v>257</v>
      </c>
      <c r="BA7" s="9">
        <v>1</v>
      </c>
      <c r="BB7" s="63">
        <v>0</v>
      </c>
      <c r="BC7" s="63">
        <v>0</v>
      </c>
      <c r="BD7" s="63">
        <v>0</v>
      </c>
      <c r="BE7" s="9"/>
      <c r="BF7" s="59">
        <v>0</v>
      </c>
      <c r="BG7" s="59">
        <v>0</v>
      </c>
      <c r="BH7" s="59">
        <v>0</v>
      </c>
      <c r="BI7" s="59">
        <v>0</v>
      </c>
    </row>
    <row r="8" spans="1:61" x14ac:dyDescent="0.3">
      <c r="A8" s="372" t="s">
        <v>433</v>
      </c>
      <c r="B8" s="372"/>
      <c r="D8" s="65" t="s">
        <v>256</v>
      </c>
      <c r="E8" s="37">
        <v>1</v>
      </c>
      <c r="F8" s="37">
        <v>0</v>
      </c>
      <c r="G8" s="37">
        <v>0</v>
      </c>
      <c r="I8" s="65" t="s">
        <v>256</v>
      </c>
      <c r="J8" s="37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46"/>
      <c r="Q8" s="46"/>
      <c r="R8" s="46"/>
      <c r="S8" s="37">
        <v>1</v>
      </c>
      <c r="T8" s="37">
        <v>0</v>
      </c>
      <c r="U8" s="37">
        <v>0</v>
      </c>
      <c r="X8" s="41"/>
      <c r="Y8" s="41"/>
      <c r="Z8" s="41"/>
      <c r="AA8" s="41"/>
      <c r="AB8" s="41"/>
      <c r="AC8" s="41"/>
      <c r="AD8" s="41"/>
      <c r="AE8" s="41"/>
      <c r="AF8" s="41"/>
      <c r="AG8" s="46"/>
      <c r="AH8" s="46"/>
      <c r="AI8" s="46"/>
      <c r="AJ8" s="41"/>
      <c r="AK8" s="41"/>
      <c r="AL8" s="41"/>
      <c r="AO8" s="42">
        <v>0</v>
      </c>
      <c r="AP8" s="42">
        <v>0</v>
      </c>
      <c r="AQ8" s="42">
        <v>0</v>
      </c>
      <c r="AR8" s="42">
        <v>0</v>
      </c>
      <c r="AU8" s="54" t="e">
        <f>VLOOKUP(Summary!H26,AO5:AR300,MATCH(AP5,AO5:AR5),FALSE)</f>
        <v>#N/A</v>
      </c>
      <c r="AV8" s="54" t="e">
        <f>VLOOKUP(Summary!H26,AO5:AR300,MATCH(AQ5,AO5:AR5),FALSE)</f>
        <v>#N/A</v>
      </c>
      <c r="AW8" s="54" t="e">
        <f>VLOOKUP(Summary!H26,AO5:AR300,MATCH(AR5,AO5:AR5),FALSE)</f>
        <v>#N/A</v>
      </c>
      <c r="AY8" s="48"/>
      <c r="AZ8" s="61">
        <v>0</v>
      </c>
      <c r="BA8" s="48">
        <v>1</v>
      </c>
      <c r="BB8" s="63">
        <v>0</v>
      </c>
      <c r="BC8" s="63">
        <v>0</v>
      </c>
      <c r="BD8" s="63">
        <v>0</v>
      </c>
      <c r="BE8" s="48"/>
      <c r="BF8" s="60">
        <v>0</v>
      </c>
      <c r="BG8" s="60">
        <v>0</v>
      </c>
      <c r="BH8" s="60">
        <v>0</v>
      </c>
      <c r="BI8" s="60">
        <v>0</v>
      </c>
    </row>
    <row r="9" spans="1:61" x14ac:dyDescent="0.3">
      <c r="A9" s="372"/>
      <c r="B9" s="372"/>
      <c r="D9" s="65" t="s">
        <v>257</v>
      </c>
      <c r="E9" s="37">
        <v>1</v>
      </c>
      <c r="F9" s="37">
        <v>0</v>
      </c>
      <c r="G9" s="37">
        <v>0</v>
      </c>
      <c r="I9" s="65" t="s">
        <v>257</v>
      </c>
      <c r="J9" s="37">
        <v>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46"/>
      <c r="Q9" s="46"/>
      <c r="R9" s="46"/>
      <c r="S9" s="37">
        <v>1</v>
      </c>
      <c r="T9" s="37">
        <v>0</v>
      </c>
      <c r="U9" s="37">
        <v>0</v>
      </c>
      <c r="W9" s="37">
        <v>2</v>
      </c>
      <c r="X9" s="36" t="e">
        <f>VLOOKUP(Summary!H25,D7:U300,MATCH(E7,D7:G7),FALSE)</f>
        <v>#N/A</v>
      </c>
      <c r="Y9" s="36" t="e">
        <f>VLOOKUP(Summary!H25,D7:U300,MATCH(F7,D7:G7),FALSE)</f>
        <v>#N/A</v>
      </c>
      <c r="Z9" s="36" t="e">
        <f>VLOOKUP(Summary!H25,D7:G300,MATCH(G7,D7:G7),FALSE)</f>
        <v>#N/A</v>
      </c>
      <c r="AA9" s="36" t="e">
        <f>VLOOKUP(Summary!H25,I7:U300,MATCH(J7,I7:L7),FALSE)</f>
        <v>#N/A</v>
      </c>
      <c r="AB9" s="36" t="e">
        <f>VLOOKUP(Summary!H25,I7:U300,MATCH(K7,I7:L7),FALSE)</f>
        <v>#N/A</v>
      </c>
      <c r="AC9" s="36" t="e">
        <f>VLOOKUP(Summary!H25,I7:U300,MATCH(L7,I7:L7),FALSE)</f>
        <v>#N/A</v>
      </c>
      <c r="AD9" s="36" t="e">
        <f>VLOOKUP(Summary!H25,D7:U300,MATCH(M7,D7:U7),FALSE)</f>
        <v>#N/A</v>
      </c>
      <c r="AE9" s="36" t="e">
        <f>VLOOKUP(Summary!H25,I7:U300,MATCH(N7,I7:N7),FALSE)</f>
        <v>#N/A</v>
      </c>
      <c r="AF9" s="36" t="e">
        <f>VLOOKUP(Summary!H25,I7:U300,MATCH(O7,I7:U7),FALSE)</f>
        <v>#N/A</v>
      </c>
      <c r="AG9" s="46"/>
      <c r="AH9" s="46"/>
      <c r="AI9" s="46"/>
      <c r="AJ9" s="36" t="e">
        <f>VLOOKUP(Summary!H25,I7:U300,MATCH(S7,I7:U7),FALSE)</f>
        <v>#N/A</v>
      </c>
      <c r="AK9" s="36" t="e">
        <f>VLOOKUP(Summary!H25,I7:U300,MATCH(T7,I7:U7),FALSE)</f>
        <v>#N/A</v>
      </c>
      <c r="AL9" s="36" t="e">
        <f>VLOOKUP(Summary!H25,I7:U300,MATCH(U7,I7:U7),FALSE)</f>
        <v>#N/A</v>
      </c>
      <c r="AO9" s="65" t="s">
        <v>258</v>
      </c>
      <c r="AP9" s="37">
        <v>1</v>
      </c>
      <c r="AQ9" s="37">
        <v>0</v>
      </c>
      <c r="AR9" s="37">
        <v>0</v>
      </c>
      <c r="AU9" s="54" t="e">
        <f>VLOOKUP(Summary!H27,AO5:AR300,MATCH(AP5,AO5:AR5),FALSE)</f>
        <v>#N/A</v>
      </c>
      <c r="AV9" s="54" t="e">
        <f>VLOOKUP(Summary!H27,AO5:AR300,MATCH(AQ5,AO5:AR5),FALSE)</f>
        <v>#N/A</v>
      </c>
      <c r="AW9" s="54" t="e">
        <f>VLOOKUP(Summary!H27,AO5:AR300,MATCH(AR5,AO5:AR5),FALSE)</f>
        <v>#N/A</v>
      </c>
      <c r="AY9" s="48"/>
      <c r="AZ9" s="65" t="s">
        <v>258</v>
      </c>
      <c r="BA9" s="48">
        <v>1</v>
      </c>
      <c r="BB9" s="63">
        <v>0</v>
      </c>
      <c r="BC9" s="63">
        <v>0</v>
      </c>
      <c r="BD9" s="63">
        <v>0</v>
      </c>
      <c r="BE9" s="48"/>
      <c r="BF9" s="60">
        <v>0</v>
      </c>
      <c r="BG9" s="60">
        <v>0</v>
      </c>
      <c r="BH9" s="60">
        <v>0</v>
      </c>
      <c r="BI9" s="60">
        <v>0</v>
      </c>
    </row>
    <row r="10" spans="1:61" x14ac:dyDescent="0.3">
      <c r="A10" s="372"/>
      <c r="B10" s="372"/>
      <c r="D10" s="42">
        <v>0</v>
      </c>
      <c r="E10" s="42">
        <v>0</v>
      </c>
      <c r="F10" s="42">
        <v>0</v>
      </c>
      <c r="G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6"/>
      <c r="Q10" s="46"/>
      <c r="R10" s="46"/>
      <c r="S10" s="42">
        <v>0</v>
      </c>
      <c r="T10" s="42">
        <v>0</v>
      </c>
      <c r="U10" s="42">
        <v>0</v>
      </c>
      <c r="X10" s="36"/>
      <c r="Y10" s="36"/>
      <c r="Z10" s="36"/>
      <c r="AA10" s="36"/>
      <c r="AB10" s="36"/>
      <c r="AC10" s="36"/>
      <c r="AD10" s="36"/>
      <c r="AE10" s="36"/>
      <c r="AF10" s="36"/>
      <c r="AG10" s="46"/>
      <c r="AH10" s="46"/>
      <c r="AI10" s="46"/>
      <c r="AJ10" s="36"/>
      <c r="AK10" s="36"/>
      <c r="AL10" s="36"/>
      <c r="AO10" s="65" t="s">
        <v>259</v>
      </c>
      <c r="AP10" s="37">
        <v>1</v>
      </c>
      <c r="AQ10" s="37">
        <v>0</v>
      </c>
      <c r="AR10" s="37">
        <v>0</v>
      </c>
      <c r="AU10" s="54" t="e">
        <f>VLOOKUP(Summary!H28,AO5:AR300,MATCH(AP5,AO5:AR5),FALSE)</f>
        <v>#N/A</v>
      </c>
      <c r="AV10" s="54" t="e">
        <f>VLOOKUP(Summary!H28,AO5:AR300,MATCH(AQ5,AO5:AR5),FALSE)</f>
        <v>#N/A</v>
      </c>
      <c r="AW10" s="54" t="e">
        <f>VLOOKUP(Summary!H28,AO5:AR300,MATCH(AR5,AO5:AR5),FALSE)</f>
        <v>#N/A</v>
      </c>
      <c r="AY10" s="48"/>
      <c r="AZ10" s="65" t="s">
        <v>259</v>
      </c>
      <c r="BA10" s="48">
        <v>1</v>
      </c>
      <c r="BB10" s="63">
        <v>0</v>
      </c>
      <c r="BC10" s="63">
        <v>0</v>
      </c>
      <c r="BD10" s="63">
        <v>0</v>
      </c>
      <c r="BE10" s="48"/>
      <c r="BF10" s="60">
        <v>0</v>
      </c>
      <c r="BG10" s="60">
        <v>0</v>
      </c>
      <c r="BH10" s="60">
        <v>0</v>
      </c>
      <c r="BI10" s="60">
        <v>0</v>
      </c>
    </row>
    <row r="11" spans="1:61" x14ac:dyDescent="0.3">
      <c r="A11" s="372"/>
      <c r="B11" s="372"/>
      <c r="D11" s="65" t="s">
        <v>258</v>
      </c>
      <c r="E11" s="37">
        <v>1</v>
      </c>
      <c r="F11" s="37">
        <v>1</v>
      </c>
      <c r="G11" s="37">
        <v>1</v>
      </c>
      <c r="I11" s="65" t="s">
        <v>258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46"/>
      <c r="Q11" s="46"/>
      <c r="R11" s="46"/>
      <c r="S11" s="37">
        <v>1</v>
      </c>
      <c r="T11" s="37">
        <v>0</v>
      </c>
      <c r="U11" s="37">
        <v>0</v>
      </c>
      <c r="X11" s="41"/>
      <c r="Y11" s="41"/>
      <c r="Z11" s="41"/>
      <c r="AA11" s="41"/>
      <c r="AB11" s="41"/>
      <c r="AC11" s="41"/>
      <c r="AD11" s="41"/>
      <c r="AE11" s="41"/>
      <c r="AF11" s="41"/>
      <c r="AG11" s="46"/>
      <c r="AH11" s="46"/>
      <c r="AI11" s="46"/>
      <c r="AJ11" s="41"/>
      <c r="AK11" s="41"/>
      <c r="AL11" s="41"/>
      <c r="AO11" s="65" t="s">
        <v>260</v>
      </c>
      <c r="AP11" s="37">
        <v>1</v>
      </c>
      <c r="AQ11" s="37">
        <v>0</v>
      </c>
      <c r="AR11" s="37">
        <v>0</v>
      </c>
      <c r="AU11" s="54" t="e">
        <f>VLOOKUP(Summary!H29,AO5:AR300,MATCH(AP5,AO5:AR5),FALSE)</f>
        <v>#N/A</v>
      </c>
      <c r="AV11" s="54" t="e">
        <f>VLOOKUP(Summary!H29,AO5:AR300,MATCH(AQ5,AO5:AR5),FALSE)</f>
        <v>#N/A</v>
      </c>
      <c r="AW11" s="54" t="e">
        <f>VLOOKUP(Summary!H29,AO5:AR300,MATCH(AR5,AO5:AR5),FALSE)</f>
        <v>#N/A</v>
      </c>
      <c r="AY11" s="48"/>
      <c r="AZ11" s="65" t="s">
        <v>260</v>
      </c>
      <c r="BA11" s="48">
        <v>1</v>
      </c>
      <c r="BB11" s="63">
        <v>0</v>
      </c>
      <c r="BC11" s="63">
        <v>0</v>
      </c>
      <c r="BD11" s="63">
        <v>0</v>
      </c>
      <c r="BE11" s="48"/>
      <c r="BF11" s="60">
        <v>0</v>
      </c>
      <c r="BG11" s="60">
        <v>0</v>
      </c>
      <c r="BH11" s="60">
        <v>0</v>
      </c>
      <c r="BI11" s="60">
        <v>0</v>
      </c>
    </row>
    <row r="12" spans="1:61" x14ac:dyDescent="0.3">
      <c r="A12" s="372"/>
      <c r="B12" s="372"/>
      <c r="D12" s="65" t="s">
        <v>259</v>
      </c>
      <c r="E12" s="37">
        <v>1</v>
      </c>
      <c r="F12" s="37">
        <v>1</v>
      </c>
      <c r="G12" s="37">
        <v>1</v>
      </c>
      <c r="I12" s="65" t="s">
        <v>259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46"/>
      <c r="Q12" s="46"/>
      <c r="R12" s="46"/>
      <c r="S12" s="37">
        <v>1</v>
      </c>
      <c r="T12" s="37">
        <v>0</v>
      </c>
      <c r="U12" s="37">
        <v>0</v>
      </c>
      <c r="W12" s="37">
        <v>3</v>
      </c>
      <c r="X12" s="50" t="e">
        <f>VLOOKUP(Summary!H26,D7:U300,MATCH(E7,D7:G7),FALSE)</f>
        <v>#N/A</v>
      </c>
      <c r="Y12" s="50" t="e">
        <f>VLOOKUP(Summary!H26,D7:U300,MATCH(F7,D7:G7),FALSE)</f>
        <v>#N/A</v>
      </c>
      <c r="Z12" s="50" t="e">
        <f>VLOOKUP(Summary!H26,D7:G300,MATCH(G7,D7:G7),FALSE)</f>
        <v>#N/A</v>
      </c>
      <c r="AA12" s="50" t="e">
        <f>VLOOKUP(Summary!H26,I7:U300,MATCH(J7,I7:L7),FALSE)</f>
        <v>#N/A</v>
      </c>
      <c r="AB12" s="50" t="e">
        <f>VLOOKUP(Summary!H26,I7:U300,MATCH(K7,I7:L7),FALSE)</f>
        <v>#N/A</v>
      </c>
      <c r="AC12" s="54" t="e">
        <f>VLOOKUP(Summary!H26,I7:U300,MATCH(L7,I7:L7),FALSE)</f>
        <v>#N/A</v>
      </c>
      <c r="AD12" s="54" t="e">
        <f>VLOOKUP(Summary!H26,D7:U300,MATCH(M7,D7:U7),FALSE)</f>
        <v>#N/A</v>
      </c>
      <c r="AE12" s="36" t="e">
        <f>VLOOKUP(Summary!H26,I7:U300,MATCH(N7,I7:N7),FALSE)</f>
        <v>#N/A</v>
      </c>
      <c r="AF12" s="54" t="e">
        <f>VLOOKUP(Summary!H26,I7:U300,MATCH(O7,I7:U7),FALSE)</f>
        <v>#N/A</v>
      </c>
      <c r="AG12" s="46"/>
      <c r="AH12" s="46"/>
      <c r="AI12" s="46"/>
      <c r="AJ12" s="54" t="e">
        <f>VLOOKUP(Summary!H26,I7:U300,MATCH(S7,I7:U7),FALSE)</f>
        <v>#N/A</v>
      </c>
      <c r="AK12" s="54" t="e">
        <f>VLOOKUP(Summary!H26,I7:U300,MATCH(T7,I7:U7),FALSE)</f>
        <v>#N/A</v>
      </c>
      <c r="AL12" s="54" t="e">
        <f>VLOOKUP(Summary!H26,I7:U300,MATCH(U7,I7:U7),FALSE)</f>
        <v>#N/A</v>
      </c>
      <c r="AO12" s="65" t="s">
        <v>261</v>
      </c>
      <c r="AP12" s="37">
        <v>1</v>
      </c>
      <c r="AQ12" s="37">
        <v>0</v>
      </c>
      <c r="AR12" s="37">
        <v>0</v>
      </c>
      <c r="AU12" s="54" t="e">
        <f>VLOOKUP(Summary!H30,AO5:AR300,MATCH(AP5,AO5:AR5),FALSE)</f>
        <v>#N/A</v>
      </c>
      <c r="AV12" s="54" t="e">
        <f>VLOOKUP(Summary!H30,AO5:AR300,MATCH(AQ5,AO5:AR5),FALSE)</f>
        <v>#N/A</v>
      </c>
      <c r="AW12" s="54" t="e">
        <f>VLOOKUP(Summary!H30,AO5:AR300,MATCH(AR5,AO5:AR5),FALSE)</f>
        <v>#N/A</v>
      </c>
      <c r="AY12" s="48"/>
      <c r="AZ12" s="65" t="s">
        <v>261</v>
      </c>
      <c r="BA12" s="48">
        <v>1</v>
      </c>
      <c r="BB12" s="63">
        <v>0</v>
      </c>
      <c r="BC12" s="63">
        <v>0</v>
      </c>
      <c r="BD12" s="63">
        <v>0</v>
      </c>
      <c r="BE12" s="48"/>
      <c r="BF12" s="60">
        <v>0</v>
      </c>
      <c r="BG12" s="60">
        <v>0</v>
      </c>
      <c r="BH12" s="60">
        <v>0</v>
      </c>
      <c r="BI12" s="60">
        <v>0</v>
      </c>
    </row>
    <row r="13" spans="1:61" x14ac:dyDescent="0.3">
      <c r="A13" s="372"/>
      <c r="B13" s="372"/>
      <c r="D13" s="65" t="s">
        <v>260</v>
      </c>
      <c r="E13" s="37">
        <v>1</v>
      </c>
      <c r="F13" s="37">
        <v>1</v>
      </c>
      <c r="G13" s="37">
        <v>1</v>
      </c>
      <c r="I13" s="65" t="s">
        <v>260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46"/>
      <c r="Q13" s="46"/>
      <c r="R13" s="46"/>
      <c r="S13" s="37">
        <v>1</v>
      </c>
      <c r="T13" s="37">
        <v>0</v>
      </c>
      <c r="U13" s="37">
        <v>0</v>
      </c>
      <c r="X13" s="36"/>
      <c r="Y13" s="36"/>
      <c r="Z13" s="36"/>
      <c r="AA13" s="36"/>
      <c r="AB13" s="36"/>
      <c r="AC13" s="36"/>
      <c r="AD13" s="36"/>
      <c r="AE13" s="36"/>
      <c r="AF13" s="36"/>
      <c r="AG13" s="46"/>
      <c r="AH13" s="46"/>
      <c r="AI13" s="46"/>
      <c r="AJ13" s="36"/>
      <c r="AK13" s="36"/>
      <c r="AL13" s="36"/>
      <c r="AO13" s="65" t="s">
        <v>262</v>
      </c>
      <c r="AP13" s="37">
        <v>1</v>
      </c>
      <c r="AQ13" s="37">
        <v>0</v>
      </c>
      <c r="AR13" s="37">
        <v>0</v>
      </c>
      <c r="AU13" s="54" t="e">
        <f>VLOOKUP(Summary!H31,AO5:AR300,MATCH(AP5,AO5:AR5),FALSE)</f>
        <v>#N/A</v>
      </c>
      <c r="AV13" s="54" t="e">
        <f>VLOOKUP(Summary!H31,AO5:AR300,MATCH(AQ5,AO5:AR5),FALSE)</f>
        <v>#N/A</v>
      </c>
      <c r="AW13" s="54" t="e">
        <f>VLOOKUP(Summary!H31,AO5:AR300,MATCH(AR5,AO5:AR5),FALSE)</f>
        <v>#N/A</v>
      </c>
      <c r="AY13" s="48"/>
      <c r="AZ13" s="65" t="s">
        <v>262</v>
      </c>
      <c r="BA13" s="48">
        <v>1</v>
      </c>
      <c r="BB13" s="63">
        <v>0</v>
      </c>
      <c r="BC13" s="63">
        <v>0</v>
      </c>
      <c r="BD13" s="63">
        <v>0</v>
      </c>
      <c r="BE13" s="48"/>
      <c r="BF13" s="60">
        <v>0</v>
      </c>
      <c r="BG13" s="60">
        <v>0</v>
      </c>
      <c r="BH13" s="60">
        <v>0</v>
      </c>
      <c r="BI13" s="60">
        <v>0</v>
      </c>
    </row>
    <row r="14" spans="1:61" x14ac:dyDescent="0.3">
      <c r="A14" s="372"/>
      <c r="B14" s="372"/>
      <c r="D14" s="65" t="s">
        <v>261</v>
      </c>
      <c r="E14" s="37">
        <v>1</v>
      </c>
      <c r="F14" s="37">
        <v>0</v>
      </c>
      <c r="G14" s="37">
        <v>0</v>
      </c>
      <c r="I14" s="65" t="s">
        <v>261</v>
      </c>
      <c r="J14" s="37">
        <v>0</v>
      </c>
      <c r="K14" s="37">
        <v>0</v>
      </c>
      <c r="L14" s="37">
        <v>0</v>
      </c>
      <c r="M14" s="37">
        <v>0</v>
      </c>
      <c r="N14" s="37">
        <v>0</v>
      </c>
      <c r="O14" s="37">
        <v>0</v>
      </c>
      <c r="P14" s="46"/>
      <c r="Q14" s="46"/>
      <c r="R14" s="46"/>
      <c r="S14" s="37">
        <v>1</v>
      </c>
      <c r="T14" s="37">
        <v>0</v>
      </c>
      <c r="U14" s="37">
        <v>0</v>
      </c>
      <c r="X14" s="41"/>
      <c r="Y14" s="41"/>
      <c r="Z14" s="41"/>
      <c r="AA14" s="41"/>
      <c r="AB14" s="41"/>
      <c r="AC14" s="41"/>
      <c r="AD14" s="41"/>
      <c r="AE14" s="41"/>
      <c r="AF14" s="41"/>
      <c r="AG14" s="46"/>
      <c r="AH14" s="46"/>
      <c r="AI14" s="46"/>
      <c r="AJ14" s="41"/>
      <c r="AK14" s="41"/>
      <c r="AL14" s="41"/>
      <c r="AO14" s="65" t="s">
        <v>263</v>
      </c>
      <c r="AP14" s="37">
        <v>1</v>
      </c>
      <c r="AQ14" s="37">
        <v>0</v>
      </c>
      <c r="AR14" s="37">
        <v>0</v>
      </c>
      <c r="AU14" s="54" t="e">
        <f>VLOOKUP(Summary!H32,AO5:AR300,MATCH(AP5,AO5:AR5),FALSE)</f>
        <v>#N/A</v>
      </c>
      <c r="AV14" s="54" t="e">
        <f>VLOOKUP(Summary!H32,AO5:AR300,MATCH(AQ5,AO5:AR5),FALSE)</f>
        <v>#N/A</v>
      </c>
      <c r="AW14" s="54" t="e">
        <f>VLOOKUP(Summary!H32,AO5:AR300,MATCH(AR5,AO5:AR5),FALSE)</f>
        <v>#N/A</v>
      </c>
      <c r="AY14" s="48"/>
      <c r="AZ14" s="65" t="s">
        <v>263</v>
      </c>
      <c r="BA14" s="48">
        <v>1</v>
      </c>
      <c r="BB14" s="63">
        <v>0</v>
      </c>
      <c r="BC14" s="63">
        <v>0</v>
      </c>
      <c r="BD14" s="63">
        <v>0</v>
      </c>
      <c r="BE14" s="48"/>
      <c r="BF14" s="60">
        <v>0</v>
      </c>
      <c r="BG14" s="60">
        <v>0</v>
      </c>
      <c r="BH14" s="60">
        <v>0</v>
      </c>
      <c r="BI14" s="60">
        <v>0</v>
      </c>
    </row>
    <row r="15" spans="1:61" x14ac:dyDescent="0.3">
      <c r="A15" s="372"/>
      <c r="B15" s="372"/>
      <c r="D15" s="65" t="s">
        <v>262</v>
      </c>
      <c r="E15" s="37">
        <v>1</v>
      </c>
      <c r="F15" s="37">
        <v>0</v>
      </c>
      <c r="G15" s="37">
        <v>0</v>
      </c>
      <c r="I15" s="65" t="s">
        <v>262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46"/>
      <c r="Q15" s="46"/>
      <c r="R15" s="46"/>
      <c r="S15" s="37">
        <v>1</v>
      </c>
      <c r="T15" s="37">
        <v>0</v>
      </c>
      <c r="U15" s="37">
        <v>0</v>
      </c>
      <c r="W15" s="37">
        <v>4</v>
      </c>
      <c r="X15" s="50" t="e">
        <f>VLOOKUP(Summary!H27,D7:U300,MATCH(E7,D7:G7),FALSE)</f>
        <v>#N/A</v>
      </c>
      <c r="Y15" s="50" t="e">
        <f>VLOOKUP(Summary!H27,D7:U300,MATCH(F7,D7:G7),FALSE)</f>
        <v>#N/A</v>
      </c>
      <c r="Z15" s="50" t="e">
        <f>VLOOKUP(Summary!H27,D7:G300,MATCH(G7,D7:G7),FALSE)</f>
        <v>#N/A</v>
      </c>
      <c r="AA15" s="50" t="e">
        <f>VLOOKUP(Summary!H27,I7:U300,MATCH(J7,I7:L7),FALSE)</f>
        <v>#N/A</v>
      </c>
      <c r="AB15" s="50" t="e">
        <f>VLOOKUP(Summary!H27,I7:U300,MATCH(K7,I7:L7),FALSE)</f>
        <v>#N/A</v>
      </c>
      <c r="AC15" s="54" t="e">
        <f>VLOOKUP(Summary!H27,I7:U300,MATCH(L7,I7:L7),FALSE)</f>
        <v>#N/A</v>
      </c>
      <c r="AD15" s="54" t="e">
        <f>VLOOKUP(Summary!H27,D7:U300,MATCH(M7,D7:U7),FALSE)</f>
        <v>#N/A</v>
      </c>
      <c r="AE15" s="54" t="e">
        <f>VLOOKUP(Summary!H27,I7:U300,MATCH(N7,I7:N7),FALSE)</f>
        <v>#N/A</v>
      </c>
      <c r="AF15" s="54" t="e">
        <f>VLOOKUP(Summary!H27,I7:U300,MATCH(O7,I7:U7),FALSE)</f>
        <v>#N/A</v>
      </c>
      <c r="AG15" s="46"/>
      <c r="AH15" s="46"/>
      <c r="AI15" s="46"/>
      <c r="AJ15" s="54" t="e">
        <f>VLOOKUP(Summary!H27,I7:U300,MATCH(S7,I7:U7),FALSE)</f>
        <v>#N/A</v>
      </c>
      <c r="AK15" s="54" t="e">
        <f>VLOOKUP(Summary!H27,I7:U300,MATCH(T7,I7:U7),FALSE)</f>
        <v>#N/A</v>
      </c>
      <c r="AL15" s="54" t="e">
        <f>VLOOKUP(Summary!H27,I7:U300,MATCH(U7,I7:U7),FALSE)</f>
        <v>#N/A</v>
      </c>
      <c r="AO15" s="65" t="s">
        <v>264</v>
      </c>
      <c r="AP15" s="37">
        <v>1</v>
      </c>
      <c r="AQ15" s="37">
        <v>0</v>
      </c>
      <c r="AR15" s="37">
        <v>0</v>
      </c>
      <c r="AU15" s="54" t="e">
        <f>VLOOKUP(Summary!H33,AO5:AR300,MATCH(AP5,AO5:AR5),FALSE)</f>
        <v>#N/A</v>
      </c>
      <c r="AV15" s="54" t="e">
        <f>VLOOKUP(Summary!H33,AO5:AR300,MATCH(AQ5,AO5:AR5),FALSE)</f>
        <v>#N/A</v>
      </c>
      <c r="AW15" s="54" t="e">
        <f>VLOOKUP(Summary!H33,AO5:AR300,MATCH(AR5,AO5:AR5),FALSE)</f>
        <v>#N/A</v>
      </c>
      <c r="AY15" s="48"/>
      <c r="AZ15" s="65" t="s">
        <v>264</v>
      </c>
      <c r="BA15" s="48">
        <v>1</v>
      </c>
      <c r="BB15" s="63">
        <v>0</v>
      </c>
      <c r="BC15" s="63">
        <v>0</v>
      </c>
      <c r="BD15" s="63">
        <v>0</v>
      </c>
      <c r="BE15" s="48"/>
      <c r="BF15" s="60">
        <v>0</v>
      </c>
      <c r="BG15" s="60">
        <v>0</v>
      </c>
      <c r="BH15" s="60">
        <v>0</v>
      </c>
      <c r="BI15" s="60">
        <v>0</v>
      </c>
    </row>
    <row r="16" spans="1:61" x14ac:dyDescent="0.3">
      <c r="A16" s="372"/>
      <c r="B16" s="372"/>
      <c r="D16" s="65" t="s">
        <v>263</v>
      </c>
      <c r="E16" s="37">
        <v>1</v>
      </c>
      <c r="F16" s="37">
        <v>0</v>
      </c>
      <c r="G16" s="37">
        <v>0</v>
      </c>
      <c r="I16" s="65" t="s">
        <v>263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  <c r="P16" s="46"/>
      <c r="Q16" s="46"/>
      <c r="R16" s="46"/>
      <c r="S16" s="37">
        <v>1</v>
      </c>
      <c r="T16" s="37">
        <v>0</v>
      </c>
      <c r="U16" s="37">
        <v>0</v>
      </c>
      <c r="X16" s="36"/>
      <c r="Y16" s="36"/>
      <c r="Z16" s="36"/>
      <c r="AA16" s="36"/>
      <c r="AB16" s="36"/>
      <c r="AC16" s="36"/>
      <c r="AD16" s="36"/>
      <c r="AE16" s="36"/>
      <c r="AF16" s="36"/>
      <c r="AG16" s="46"/>
      <c r="AH16" s="46"/>
      <c r="AI16" s="46"/>
      <c r="AJ16" s="36"/>
      <c r="AK16" s="36"/>
      <c r="AL16" s="36"/>
      <c r="AO16" s="65" t="s">
        <v>186</v>
      </c>
      <c r="AP16" s="37">
        <v>1</v>
      </c>
      <c r="AQ16" s="37">
        <v>0</v>
      </c>
      <c r="AR16" s="37">
        <v>0</v>
      </c>
      <c r="AU16" s="54" t="e">
        <f>VLOOKUP(Summary!H34,AO5:AR300,MATCH(AP5,AO5:AR5),FALSE)</f>
        <v>#N/A</v>
      </c>
      <c r="AV16" s="54" t="e">
        <f>VLOOKUP(Summary!H34,AO5:AR300,MATCH(AQ5,AO5:AR5),FALSE)</f>
        <v>#N/A</v>
      </c>
      <c r="AW16" s="54" t="e">
        <f>VLOOKUP(Summary!H34,AO5:AR300,MATCH(AR5,AO5:AR5),FALSE)</f>
        <v>#N/A</v>
      </c>
      <c r="AY16" s="48"/>
      <c r="AZ16" s="65" t="s">
        <v>186</v>
      </c>
      <c r="BA16" s="48">
        <v>1</v>
      </c>
      <c r="BB16" s="63">
        <v>0</v>
      </c>
      <c r="BC16" s="63">
        <v>0</v>
      </c>
      <c r="BD16" s="63">
        <v>0</v>
      </c>
      <c r="BE16" s="48"/>
      <c r="BF16" s="60">
        <v>0</v>
      </c>
      <c r="BG16" s="60">
        <v>0</v>
      </c>
      <c r="BH16" s="60">
        <v>0</v>
      </c>
      <c r="BI16" s="60">
        <v>0</v>
      </c>
    </row>
    <row r="17" spans="1:61" x14ac:dyDescent="0.3">
      <c r="A17" s="372"/>
      <c r="B17" s="372"/>
      <c r="D17" s="65" t="s">
        <v>264</v>
      </c>
      <c r="E17" s="37">
        <v>1</v>
      </c>
      <c r="F17" s="37">
        <v>1</v>
      </c>
      <c r="G17" s="37">
        <v>0</v>
      </c>
      <c r="I17" s="65" t="s">
        <v>264</v>
      </c>
      <c r="J17" s="37">
        <v>1</v>
      </c>
      <c r="K17" s="37">
        <v>1</v>
      </c>
      <c r="L17" s="37">
        <v>1</v>
      </c>
      <c r="M17" s="37">
        <v>1</v>
      </c>
      <c r="N17" s="37">
        <v>1</v>
      </c>
      <c r="O17" s="37">
        <v>0</v>
      </c>
      <c r="P17" s="46"/>
      <c r="Q17" s="46"/>
      <c r="R17" s="46"/>
      <c r="S17" s="37">
        <v>1</v>
      </c>
      <c r="T17" s="37">
        <v>0</v>
      </c>
      <c r="U17" s="37">
        <v>0</v>
      </c>
      <c r="X17" s="41"/>
      <c r="Y17" s="41"/>
      <c r="Z17" s="41"/>
      <c r="AA17" s="41"/>
      <c r="AB17" s="41"/>
      <c r="AC17" s="41"/>
      <c r="AD17" s="41"/>
      <c r="AE17" s="41"/>
      <c r="AF17" s="41"/>
      <c r="AG17" s="46"/>
      <c r="AH17" s="46"/>
      <c r="AI17" s="46"/>
      <c r="AJ17" s="41"/>
      <c r="AK17" s="41"/>
      <c r="AL17" s="41"/>
      <c r="AO17" s="65" t="s">
        <v>191</v>
      </c>
      <c r="AP17" s="37">
        <v>1</v>
      </c>
      <c r="AQ17" s="37">
        <v>0</v>
      </c>
      <c r="AR17" s="37">
        <v>0</v>
      </c>
      <c r="AU17" s="54" t="e">
        <f>VLOOKUP(Summary!H35,AO5:AR300,MATCH(AP5,AO5:AR5),FALSE)</f>
        <v>#N/A</v>
      </c>
      <c r="AV17" s="54" t="e">
        <f>VLOOKUP(Summary!H35,AO5:AR300,MATCH(AQ5,AO5:AR5),FALSE)</f>
        <v>#N/A</v>
      </c>
      <c r="AW17" s="54" t="e">
        <f>VLOOKUP(Summary!H35,AO5:AR300,MATCH(AR5,AO5:AR5),FALSE)</f>
        <v>#N/A</v>
      </c>
      <c r="AY17" s="48"/>
      <c r="AZ17" s="65" t="s">
        <v>191</v>
      </c>
      <c r="BA17" s="48">
        <v>1</v>
      </c>
      <c r="BB17" s="63">
        <v>0</v>
      </c>
      <c r="BC17" s="63">
        <v>0</v>
      </c>
      <c r="BD17" s="63">
        <v>0</v>
      </c>
      <c r="BE17" s="48"/>
      <c r="BF17" s="59">
        <v>0</v>
      </c>
      <c r="BG17" s="59">
        <v>0</v>
      </c>
      <c r="BH17" s="59">
        <v>0</v>
      </c>
      <c r="BI17" s="59">
        <v>0</v>
      </c>
    </row>
    <row r="18" spans="1:61" x14ac:dyDescent="0.3">
      <c r="A18" s="371" t="s">
        <v>440</v>
      </c>
      <c r="B18" s="371"/>
      <c r="D18" s="65" t="s">
        <v>186</v>
      </c>
      <c r="E18" s="37">
        <v>1</v>
      </c>
      <c r="F18" s="37">
        <v>1</v>
      </c>
      <c r="G18" s="37">
        <v>1</v>
      </c>
      <c r="I18" s="65" t="s">
        <v>186</v>
      </c>
      <c r="J18" s="37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46"/>
      <c r="Q18" s="46"/>
      <c r="R18" s="46"/>
      <c r="S18" s="63">
        <v>1</v>
      </c>
      <c r="T18" s="63">
        <v>0</v>
      </c>
      <c r="U18" s="63">
        <v>0</v>
      </c>
      <c r="W18" s="37">
        <v>5</v>
      </c>
      <c r="X18" s="50" t="e">
        <f>VLOOKUP(Summary!H28,D7:U300,MATCH(E7,D7:G7),FALSE)</f>
        <v>#N/A</v>
      </c>
      <c r="Y18" s="50" t="e">
        <f>VLOOKUP(Summary!H28,D7:U300,MATCH(F7,D7:G7),FALSE)</f>
        <v>#N/A</v>
      </c>
      <c r="Z18" s="50" t="e">
        <f>VLOOKUP(Summary!H28,D7:G300,MATCH(G7,D7:G7),FALSE)</f>
        <v>#N/A</v>
      </c>
      <c r="AA18" s="50" t="e">
        <f>VLOOKUP(Summary!H28,I7:U300,MATCH(J7,I7:L7),FALSE)</f>
        <v>#N/A</v>
      </c>
      <c r="AB18" s="50" t="e">
        <f>VLOOKUP(Summary!H28,I7:U300,MATCH(K7,I7:L7),FALSE)</f>
        <v>#N/A</v>
      </c>
      <c r="AC18" s="54" t="e">
        <f>VLOOKUP(Summary!H28,I7:U300,MATCH(L7,I7:L7),FALSE)</f>
        <v>#N/A</v>
      </c>
      <c r="AD18" s="54" t="e">
        <f>VLOOKUP(Summary!H28,D7:U300,MATCH(M7,D7:U7),FALSE)</f>
        <v>#N/A</v>
      </c>
      <c r="AE18" s="54" t="e">
        <f>VLOOKUP(Summary!H28,I7:U300,MATCH(N7,I7:N7),FALSE)</f>
        <v>#N/A</v>
      </c>
      <c r="AF18" s="54" t="e">
        <f>VLOOKUP(Summary!H28,I7:U300,MATCH(O7,I7:U7),FALSE)</f>
        <v>#N/A</v>
      </c>
      <c r="AG18" s="46"/>
      <c r="AH18" s="46"/>
      <c r="AI18" s="46"/>
      <c r="AJ18" s="54" t="e">
        <f>VLOOKUP(Summary!H28,I7:U300,MATCH(S7,I7:U7),FALSE)</f>
        <v>#N/A</v>
      </c>
      <c r="AK18" s="54" t="e">
        <f>VLOOKUP(Summary!H28,I7:U300,MATCH(T7,I7:U7),FALSE)</f>
        <v>#N/A</v>
      </c>
      <c r="AL18" s="54" t="e">
        <f>VLOOKUP(Summary!H28,I7:U300,MATCH(U7,I7:U7),FALSE)</f>
        <v>#N/A</v>
      </c>
      <c r="AO18" s="65" t="s">
        <v>190</v>
      </c>
      <c r="AP18" s="37">
        <v>1</v>
      </c>
      <c r="AQ18" s="37">
        <v>0</v>
      </c>
      <c r="AR18" s="37">
        <v>0</v>
      </c>
      <c r="AU18" s="54" t="e">
        <f>VLOOKUP(Summary!H36,AO5:AR300,MATCH(AP5,AO5:AR5),FALSE)</f>
        <v>#N/A</v>
      </c>
      <c r="AV18" s="54" t="e">
        <f>VLOOKUP(Summary!H36,AO5:AR300,MATCH(AQ5,AO5:AR5),FALSE)</f>
        <v>#N/A</v>
      </c>
      <c r="AW18" s="54" t="e">
        <f>VLOOKUP(Summary!H36,AO5:AR300,MATCH(AR5,AO5:AR5),FALSE)</f>
        <v>#N/A</v>
      </c>
      <c r="AY18" s="48"/>
      <c r="AZ18" s="65" t="s">
        <v>190</v>
      </c>
      <c r="BA18" s="48">
        <v>1</v>
      </c>
      <c r="BB18" s="63">
        <v>0</v>
      </c>
      <c r="BC18" s="63">
        <v>0</v>
      </c>
      <c r="BD18" s="63">
        <v>0</v>
      </c>
      <c r="BE18" s="48"/>
      <c r="BF18" s="60">
        <v>0</v>
      </c>
      <c r="BG18" s="60">
        <v>0</v>
      </c>
      <c r="BH18" s="60">
        <v>0</v>
      </c>
      <c r="BI18" s="60">
        <v>0</v>
      </c>
    </row>
    <row r="19" spans="1:61" x14ac:dyDescent="0.3">
      <c r="A19" s="371"/>
      <c r="B19" s="371"/>
      <c r="D19" s="65" t="s">
        <v>191</v>
      </c>
      <c r="E19" s="37">
        <v>1</v>
      </c>
      <c r="F19" s="37">
        <v>0</v>
      </c>
      <c r="G19" s="37">
        <v>0</v>
      </c>
      <c r="I19" s="65" t="s">
        <v>191</v>
      </c>
      <c r="J19" s="37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46"/>
      <c r="Q19" s="46"/>
      <c r="R19" s="46"/>
      <c r="S19" s="63">
        <v>1</v>
      </c>
      <c r="T19" s="63">
        <v>0</v>
      </c>
      <c r="U19" s="63">
        <v>0</v>
      </c>
      <c r="X19" s="36"/>
      <c r="Y19" s="36"/>
      <c r="Z19" s="36"/>
      <c r="AA19" s="36"/>
      <c r="AB19" s="36"/>
      <c r="AC19" s="36"/>
      <c r="AD19" s="36"/>
      <c r="AE19" s="36"/>
      <c r="AF19" s="36"/>
      <c r="AG19" s="46"/>
      <c r="AH19" s="46"/>
      <c r="AI19" s="46"/>
      <c r="AJ19" s="36"/>
      <c r="AK19" s="36"/>
      <c r="AL19" s="36"/>
      <c r="AO19" s="65" t="s">
        <v>189</v>
      </c>
      <c r="AP19" s="37">
        <v>1</v>
      </c>
      <c r="AQ19" s="37">
        <v>0</v>
      </c>
      <c r="AR19" s="37">
        <v>0</v>
      </c>
      <c r="AU19" s="54" t="e">
        <f>VLOOKUP(Summary!H37,AO5:AR300,MATCH(AP5,AO5:AR5),FALSE)</f>
        <v>#N/A</v>
      </c>
      <c r="AV19" s="54" t="e">
        <f>VLOOKUP(Summary!H37,AO5:AR300,MATCH(AQ5,AO5:AR5),FALSE)</f>
        <v>#N/A</v>
      </c>
      <c r="AW19" s="54" t="e">
        <f>VLOOKUP(Summary!H37,AO5:AR300,MATCH(AR5,AO5:AR5),FALSE)</f>
        <v>#N/A</v>
      </c>
      <c r="AY19" s="48"/>
      <c r="AZ19" s="65" t="s">
        <v>189</v>
      </c>
      <c r="BA19" s="48">
        <v>1</v>
      </c>
      <c r="BB19" s="63">
        <v>0</v>
      </c>
      <c r="BC19" s="63">
        <v>0</v>
      </c>
      <c r="BD19" s="63">
        <v>0</v>
      </c>
      <c r="BE19" s="48"/>
      <c r="BF19" s="60">
        <v>0</v>
      </c>
      <c r="BG19" s="60">
        <v>0</v>
      </c>
      <c r="BH19" s="60">
        <v>0</v>
      </c>
      <c r="BI19" s="60">
        <v>0</v>
      </c>
    </row>
    <row r="20" spans="1:61" x14ac:dyDescent="0.3">
      <c r="A20" s="371"/>
      <c r="B20" s="371"/>
      <c r="D20" s="65" t="s">
        <v>190</v>
      </c>
      <c r="E20" s="37">
        <v>1</v>
      </c>
      <c r="F20" s="37">
        <v>0</v>
      </c>
      <c r="G20" s="37">
        <v>0</v>
      </c>
      <c r="I20" s="65" t="s">
        <v>190</v>
      </c>
      <c r="J20" s="37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46"/>
      <c r="Q20" s="46"/>
      <c r="R20" s="46"/>
      <c r="S20" s="63">
        <v>1</v>
      </c>
      <c r="T20" s="63">
        <v>0</v>
      </c>
      <c r="U20" s="63">
        <v>0</v>
      </c>
      <c r="X20" s="41"/>
      <c r="Y20" s="41"/>
      <c r="Z20" s="41"/>
      <c r="AA20" s="41"/>
      <c r="AB20" s="41"/>
      <c r="AC20" s="41"/>
      <c r="AD20" s="41"/>
      <c r="AE20" s="41"/>
      <c r="AF20" s="41"/>
      <c r="AG20" s="46"/>
      <c r="AH20" s="46"/>
      <c r="AI20" s="46"/>
      <c r="AJ20" s="41"/>
      <c r="AK20" s="41"/>
      <c r="AL20" s="41"/>
      <c r="AO20" s="65" t="s">
        <v>188</v>
      </c>
      <c r="AP20" s="37">
        <v>1</v>
      </c>
      <c r="AQ20" s="37">
        <v>0</v>
      </c>
      <c r="AR20" s="37">
        <v>0</v>
      </c>
      <c r="AU20" s="54" t="e">
        <f>VLOOKUP(Summary!H38,AO5:AR300,MATCH(AP5,AO5:AR5),FALSE)</f>
        <v>#N/A</v>
      </c>
      <c r="AV20" s="54" t="e">
        <f>VLOOKUP(Summary!H38,AO5:AR300,MATCH(AQ5,AO5:AR5),FALSE)</f>
        <v>#N/A</v>
      </c>
      <c r="AW20" s="54" t="e">
        <f>VLOOKUP(Summary!H38,AO5:AR300,MATCH(AR5,AO5:AR5),FALSE)</f>
        <v>#N/A</v>
      </c>
      <c r="AY20" s="48"/>
      <c r="AZ20" s="65" t="s">
        <v>188</v>
      </c>
      <c r="BA20" s="48">
        <v>1</v>
      </c>
      <c r="BB20" s="63">
        <v>0</v>
      </c>
      <c r="BC20" s="63">
        <v>0</v>
      </c>
      <c r="BD20" s="63">
        <v>0</v>
      </c>
      <c r="BE20" s="48"/>
      <c r="BF20" s="60">
        <v>0</v>
      </c>
      <c r="BG20" s="60">
        <v>0</v>
      </c>
      <c r="BH20" s="60">
        <v>0</v>
      </c>
      <c r="BI20" s="60">
        <v>0</v>
      </c>
    </row>
    <row r="21" spans="1:61" x14ac:dyDescent="0.3">
      <c r="A21" s="371"/>
      <c r="B21" s="371"/>
      <c r="D21" s="65" t="s">
        <v>189</v>
      </c>
      <c r="E21" s="37">
        <v>1</v>
      </c>
      <c r="F21" s="37">
        <v>1</v>
      </c>
      <c r="G21" s="37">
        <v>1</v>
      </c>
      <c r="I21" s="65" t="s">
        <v>189</v>
      </c>
      <c r="J21" s="37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46"/>
      <c r="Q21" s="46"/>
      <c r="R21" s="46"/>
      <c r="S21" s="63">
        <v>1</v>
      </c>
      <c r="T21" s="63">
        <v>0</v>
      </c>
      <c r="U21" s="63">
        <v>0</v>
      </c>
      <c r="W21" s="37">
        <v>6</v>
      </c>
      <c r="X21" s="50" t="e">
        <f>VLOOKUP(Summary!H29,D7:U300,MATCH(E7,D7:G7),FALSE)</f>
        <v>#N/A</v>
      </c>
      <c r="Y21" s="50" t="e">
        <f>VLOOKUP(Summary!H29,D7:U300,MATCH(F7,D7:G7),FALSE)</f>
        <v>#N/A</v>
      </c>
      <c r="Z21" s="50" t="e">
        <f>VLOOKUP(Summary!H29,D7:G300,MATCH(G7,D7:G7),FALSE)</f>
        <v>#N/A</v>
      </c>
      <c r="AA21" s="36" t="e">
        <f>VLOOKUP(Summary!H29,I7:U300,MATCH(J7,I7:L7),FALSE)</f>
        <v>#N/A</v>
      </c>
      <c r="AB21" s="50" t="e">
        <f>VLOOKUP(Summary!H29,I7:U300,MATCH(K7,I7:L7),FALSE)</f>
        <v>#N/A</v>
      </c>
      <c r="AC21" s="54" t="e">
        <f>VLOOKUP(Summary!H29,I7:U300,MATCH(L7,I7:L7),FALSE)</f>
        <v>#N/A</v>
      </c>
      <c r="AD21" s="54" t="e">
        <f>VLOOKUP(Summary!H29,D7:U300,MATCH(M7,D7:U7),FALSE)</f>
        <v>#N/A</v>
      </c>
      <c r="AE21" s="54" t="e">
        <f>VLOOKUP(Summary!H29,I7:U300,MATCH(N7,I7:N7),FALSE)</f>
        <v>#N/A</v>
      </c>
      <c r="AF21" s="54" t="e">
        <f>VLOOKUP(Summary!H29,I7:U300,MATCH(O7,I7:U7),FALSE)</f>
        <v>#N/A</v>
      </c>
      <c r="AG21" s="46"/>
      <c r="AH21" s="46"/>
      <c r="AI21" s="46"/>
      <c r="AJ21" s="54" t="e">
        <f>VLOOKUP(Summary!H29,I7:U300,MATCH(S7,I7:U7),FALSE)</f>
        <v>#N/A</v>
      </c>
      <c r="AK21" s="54" t="e">
        <f>VLOOKUP(Summary!H29,I7:U300,MATCH(T7,I7:U7),FALSE)</f>
        <v>#N/A</v>
      </c>
      <c r="AL21" s="54" t="e">
        <f>VLOOKUP(Summary!H29,I7:U300,MATCH(U7,I7:U7),FALSE)</f>
        <v>#N/A</v>
      </c>
      <c r="AO21" s="65" t="s">
        <v>187</v>
      </c>
      <c r="AP21" s="37">
        <v>1</v>
      </c>
      <c r="AQ21" s="37">
        <v>0</v>
      </c>
      <c r="AR21" s="37">
        <v>0</v>
      </c>
      <c r="AU21" s="54" t="e">
        <f>VLOOKUP(Summary!H39,AO5:AR300,MATCH(AP5,AO5:AR5),FALSE)</f>
        <v>#N/A</v>
      </c>
      <c r="AV21" s="54" t="e">
        <f>VLOOKUP(Summary!H39,AO5:AR300,MATCH(AQ5,AO5:AR5),FALSE)</f>
        <v>#N/A</v>
      </c>
      <c r="AW21" s="54" t="e">
        <f>VLOOKUP(Summary!H39,AO5:AR300,MATCH(AR5,AO5:AR5),FALSE)</f>
        <v>#N/A</v>
      </c>
      <c r="AY21" s="48"/>
      <c r="AZ21" s="65" t="s">
        <v>187</v>
      </c>
      <c r="BA21" s="48">
        <v>1</v>
      </c>
      <c r="BB21" s="63">
        <v>0</v>
      </c>
      <c r="BC21" s="63">
        <v>0</v>
      </c>
      <c r="BD21" s="63">
        <v>0</v>
      </c>
      <c r="BE21" s="48"/>
      <c r="BF21" s="60">
        <v>0</v>
      </c>
      <c r="BG21" s="60">
        <v>0</v>
      </c>
      <c r="BH21" s="60">
        <v>0</v>
      </c>
      <c r="BI21" s="60">
        <v>0</v>
      </c>
    </row>
    <row r="22" spans="1:61" x14ac:dyDescent="0.3">
      <c r="A22" s="371"/>
      <c r="B22" s="371"/>
      <c r="D22" s="65" t="s">
        <v>188</v>
      </c>
      <c r="E22" s="37">
        <v>1</v>
      </c>
      <c r="F22" s="37">
        <v>0</v>
      </c>
      <c r="G22" s="37">
        <v>0</v>
      </c>
      <c r="I22" s="65" t="s">
        <v>188</v>
      </c>
      <c r="J22" s="37">
        <v>0</v>
      </c>
      <c r="K22" s="63">
        <v>0</v>
      </c>
      <c r="L22" s="63">
        <v>0</v>
      </c>
      <c r="M22" s="63">
        <v>0</v>
      </c>
      <c r="N22" s="63">
        <v>0</v>
      </c>
      <c r="O22" s="63">
        <v>0</v>
      </c>
      <c r="P22" s="46"/>
      <c r="Q22" s="46"/>
      <c r="R22" s="46"/>
      <c r="S22" s="63">
        <v>1</v>
      </c>
      <c r="T22" s="63">
        <v>0</v>
      </c>
      <c r="U22" s="63">
        <v>0</v>
      </c>
      <c r="X22" s="36"/>
      <c r="Y22" s="36"/>
      <c r="Z22" s="36"/>
      <c r="AA22" s="36"/>
      <c r="AB22" s="36"/>
      <c r="AC22" s="36"/>
      <c r="AD22" s="36"/>
      <c r="AE22" s="36"/>
      <c r="AF22" s="36"/>
      <c r="AG22" s="46"/>
      <c r="AH22" s="46"/>
      <c r="AI22" s="46"/>
      <c r="AJ22" s="36"/>
      <c r="AK22" s="36"/>
      <c r="AL22" s="36"/>
      <c r="AO22" s="65" t="s">
        <v>185</v>
      </c>
      <c r="AP22" s="37">
        <v>1</v>
      </c>
      <c r="AQ22" s="37">
        <v>0</v>
      </c>
      <c r="AR22" s="37">
        <v>0</v>
      </c>
      <c r="AU22" s="54" t="e">
        <f>VLOOKUP(Summary!H40,AO5:AR300,MATCH(AP5,AO5:AR5),FALSE)</f>
        <v>#N/A</v>
      </c>
      <c r="AV22" s="54" t="e">
        <f>VLOOKUP(Summary!H40,AO5:AR300,MATCH(AQ5,AO5:AR5),FALSE)</f>
        <v>#N/A</v>
      </c>
      <c r="AW22" s="54" t="e">
        <f>VLOOKUP(Summary!H40,AO5:AR300,MATCH(AR5,AO5:AR5),FALSE)</f>
        <v>#N/A</v>
      </c>
      <c r="AY22" s="48"/>
      <c r="AZ22" s="65" t="s">
        <v>185</v>
      </c>
      <c r="BA22" s="48">
        <v>1</v>
      </c>
      <c r="BB22" s="63">
        <v>0</v>
      </c>
      <c r="BC22" s="63">
        <v>0</v>
      </c>
      <c r="BD22" s="63">
        <v>0</v>
      </c>
      <c r="BE22" s="48"/>
      <c r="BF22" s="60">
        <v>0</v>
      </c>
      <c r="BG22" s="60">
        <v>0</v>
      </c>
      <c r="BH22" s="60">
        <v>0</v>
      </c>
      <c r="BI22" s="60">
        <v>0</v>
      </c>
    </row>
    <row r="23" spans="1:61" x14ac:dyDescent="0.3">
      <c r="A23" s="371"/>
      <c r="B23" s="371"/>
      <c r="D23" s="65" t="s">
        <v>187</v>
      </c>
      <c r="E23" s="37">
        <v>1</v>
      </c>
      <c r="F23" s="37">
        <v>1</v>
      </c>
      <c r="G23" s="37">
        <v>0</v>
      </c>
      <c r="I23" s="65" t="s">
        <v>187</v>
      </c>
      <c r="J23" s="37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46"/>
      <c r="Q23" s="46"/>
      <c r="R23" s="46"/>
      <c r="S23" s="63">
        <v>1</v>
      </c>
      <c r="T23" s="63">
        <v>0</v>
      </c>
      <c r="U23" s="63">
        <v>0</v>
      </c>
      <c r="X23" s="41"/>
      <c r="Y23" s="41"/>
      <c r="Z23" s="41"/>
      <c r="AA23" s="41"/>
      <c r="AB23" s="41"/>
      <c r="AC23" s="41"/>
      <c r="AD23" s="41"/>
      <c r="AE23" s="41"/>
      <c r="AF23" s="41"/>
      <c r="AG23" s="46"/>
      <c r="AH23" s="46"/>
      <c r="AI23" s="46"/>
      <c r="AJ23" s="41"/>
      <c r="AK23" s="41"/>
      <c r="AL23" s="41"/>
      <c r="AO23" s="65" t="s">
        <v>72</v>
      </c>
      <c r="AP23" s="37">
        <v>1</v>
      </c>
      <c r="AQ23" s="37">
        <v>0</v>
      </c>
      <c r="AR23" s="63">
        <v>0</v>
      </c>
      <c r="AU23" s="54" t="e">
        <f>VLOOKUP(Summary!H41,AO5:AR300,MATCH(AP5,AO5:AR5),FALSE)</f>
        <v>#N/A</v>
      </c>
      <c r="AV23" s="54" t="e">
        <f>VLOOKUP(Summary!H41,AO5:AR300,MATCH(AQ5,AO5:AR5),FALSE)</f>
        <v>#N/A</v>
      </c>
      <c r="AW23" s="54" t="e">
        <f>VLOOKUP(Summary!H41,AO5:AR300,MATCH(AR5,AO5:AR5),FALSE)</f>
        <v>#N/A</v>
      </c>
      <c r="AY23" s="48"/>
      <c r="AZ23" s="65" t="s">
        <v>72</v>
      </c>
      <c r="BA23" s="48">
        <v>1</v>
      </c>
      <c r="BB23" s="63">
        <v>0</v>
      </c>
      <c r="BC23" s="63">
        <v>0</v>
      </c>
      <c r="BD23" s="63">
        <v>0</v>
      </c>
      <c r="BE23" s="48"/>
      <c r="BF23" s="60">
        <v>0</v>
      </c>
      <c r="BG23" s="60">
        <v>0</v>
      </c>
      <c r="BH23" s="60">
        <v>0</v>
      </c>
      <c r="BI23" s="60">
        <v>0</v>
      </c>
    </row>
    <row r="24" spans="1:61" x14ac:dyDescent="0.3">
      <c r="A24" s="371"/>
      <c r="B24" s="371"/>
      <c r="D24" s="65" t="s">
        <v>185</v>
      </c>
      <c r="E24" s="37">
        <v>1</v>
      </c>
      <c r="F24" s="37">
        <v>1</v>
      </c>
      <c r="G24" s="37">
        <v>1</v>
      </c>
      <c r="I24" s="65" t="s">
        <v>185</v>
      </c>
      <c r="J24" s="37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46"/>
      <c r="Q24" s="46"/>
      <c r="R24" s="46"/>
      <c r="S24" s="63">
        <v>1</v>
      </c>
      <c r="T24" s="63">
        <v>0</v>
      </c>
      <c r="U24" s="63">
        <v>0</v>
      </c>
      <c r="W24" s="37">
        <v>7</v>
      </c>
      <c r="X24" s="50" t="e">
        <f>VLOOKUP(Summary!H30,D7:U300,MATCH(E7,D7:G7),FALSE)</f>
        <v>#N/A</v>
      </c>
      <c r="Y24" s="50" t="e">
        <f>VLOOKUP(Summary!H30,D7:U300,MATCH(F7,D7:G7),FALSE)</f>
        <v>#N/A</v>
      </c>
      <c r="Z24" s="50" t="e">
        <f>VLOOKUP(Summary!H30,D7:G300,MATCH(G7,D7:G7),FALSE)</f>
        <v>#N/A</v>
      </c>
      <c r="AA24" s="50" t="e">
        <f>VLOOKUP(Summary!H30,I7:U300,MATCH(J7,I7:L7),FALSE)</f>
        <v>#N/A</v>
      </c>
      <c r="AB24" s="50" t="e">
        <f>VLOOKUP(Summary!H30,I7:U300,MATCH(K7,I7:L7),FALSE)</f>
        <v>#N/A</v>
      </c>
      <c r="AC24" s="54" t="e">
        <f>VLOOKUP(Summary!H30,I7:U300,MATCH(L7,I7:L7),FALSE)</f>
        <v>#N/A</v>
      </c>
      <c r="AD24" s="54" t="e">
        <f>VLOOKUP(Summary!H30,D7:U300,MATCH(M7,D7:U7),FALSE)</f>
        <v>#N/A</v>
      </c>
      <c r="AE24" s="54" t="e">
        <f>VLOOKUP(Summary!H30,I7:U300,MATCH(N7,I7:N7),FALSE)</f>
        <v>#N/A</v>
      </c>
      <c r="AF24" s="54" t="e">
        <f>VLOOKUP(Summary!H30,I7:U300,MATCH(O7,I7:U7),FALSE)</f>
        <v>#N/A</v>
      </c>
      <c r="AG24" s="46"/>
      <c r="AH24" s="46"/>
      <c r="AI24" s="46"/>
      <c r="AJ24" s="54" t="e">
        <f>VLOOKUP(Summary!H30,I7:U300,MATCH(S7,I7:U7),FALSE)</f>
        <v>#N/A</v>
      </c>
      <c r="AK24" s="54" t="e">
        <f>VLOOKUP(Summary!H30,I7:U300,MATCH(T7,I7:U7),FALSE)</f>
        <v>#N/A</v>
      </c>
      <c r="AL24" s="54" t="e">
        <f>VLOOKUP(Summary!H30,I7:U300,MATCH(U7,I7:U7),FALSE)</f>
        <v>#N/A</v>
      </c>
      <c r="AO24" s="65" t="s">
        <v>302</v>
      </c>
      <c r="AP24" s="37">
        <v>1</v>
      </c>
      <c r="AQ24" s="37">
        <v>0</v>
      </c>
      <c r="AR24" s="63">
        <v>0</v>
      </c>
      <c r="AU24" s="54" t="e">
        <f>VLOOKUP(Summary!H42,AO5:AR300,MATCH(AP5,AO5:AR5),FALSE)</f>
        <v>#N/A</v>
      </c>
      <c r="AV24" s="54" t="e">
        <f>VLOOKUP(Summary!H42,AO5:AR300,MATCH(AQ5,AO5:AR5),FALSE)</f>
        <v>#N/A</v>
      </c>
      <c r="AW24" s="54" t="e">
        <f>VLOOKUP(Summary!H42,AO5:AR300,MATCH(AR5,AO5:AR5),FALSE)</f>
        <v>#N/A</v>
      </c>
      <c r="AY24" s="48"/>
      <c r="AZ24" s="65" t="s">
        <v>302</v>
      </c>
      <c r="BA24" s="48">
        <v>1</v>
      </c>
      <c r="BB24" s="63">
        <v>0</v>
      </c>
      <c r="BC24" s="63">
        <v>0</v>
      </c>
      <c r="BD24" s="63">
        <v>0</v>
      </c>
      <c r="BE24" s="48"/>
      <c r="BF24" s="60">
        <v>0</v>
      </c>
      <c r="BG24" s="60">
        <v>0</v>
      </c>
      <c r="BH24" s="60">
        <v>0</v>
      </c>
      <c r="BI24" s="60">
        <v>0</v>
      </c>
    </row>
    <row r="25" spans="1:61" x14ac:dyDescent="0.3">
      <c r="A25" s="372" t="s">
        <v>441</v>
      </c>
      <c r="B25" s="372"/>
      <c r="D25" s="65" t="s">
        <v>72</v>
      </c>
      <c r="E25" s="37">
        <v>1</v>
      </c>
      <c r="F25" s="37">
        <v>1</v>
      </c>
      <c r="G25" s="37">
        <v>1</v>
      </c>
      <c r="I25" s="65" t="s">
        <v>72</v>
      </c>
      <c r="J25" s="37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46"/>
      <c r="Q25" s="46"/>
      <c r="R25" s="46"/>
      <c r="S25" s="37">
        <v>1</v>
      </c>
      <c r="T25" s="63">
        <v>0</v>
      </c>
      <c r="U25" s="63">
        <v>0</v>
      </c>
      <c r="X25" s="36"/>
      <c r="Y25" s="36"/>
      <c r="Z25" s="36"/>
      <c r="AA25" s="36"/>
      <c r="AB25" s="36"/>
      <c r="AC25" s="36"/>
      <c r="AD25" s="36"/>
      <c r="AE25" s="36"/>
      <c r="AF25" s="36"/>
      <c r="AG25" s="46"/>
      <c r="AH25" s="46"/>
      <c r="AI25" s="46"/>
      <c r="AJ25" s="36"/>
      <c r="AK25" s="36"/>
      <c r="AL25" s="36"/>
      <c r="AO25" s="65" t="s">
        <v>301</v>
      </c>
      <c r="AP25" s="37">
        <v>1</v>
      </c>
      <c r="AQ25" s="37">
        <v>0</v>
      </c>
      <c r="AR25" s="63">
        <v>0</v>
      </c>
      <c r="AU25" s="54" t="e">
        <f>VLOOKUP(Summary!H43,AO5:AR300,MATCH(AP5,AO5:AR5),FALSE)</f>
        <v>#N/A</v>
      </c>
      <c r="AV25" s="54" t="e">
        <f>VLOOKUP(Summary!H43,AO5:AR300,MATCH(AQ5,AO5:AR5),FALSE)</f>
        <v>#N/A</v>
      </c>
      <c r="AW25" s="54" t="e">
        <f>VLOOKUP(Summary!H43,AO5:AR300,MATCH(AR5,AO5:AR5),FALSE)</f>
        <v>#N/A</v>
      </c>
      <c r="AY25" s="48"/>
      <c r="AZ25" s="65" t="s">
        <v>301</v>
      </c>
      <c r="BA25" s="48">
        <v>1</v>
      </c>
      <c r="BB25" s="63">
        <v>0</v>
      </c>
      <c r="BC25" s="63">
        <v>0</v>
      </c>
      <c r="BD25" s="63">
        <v>0</v>
      </c>
      <c r="BE25" s="48"/>
      <c r="BF25" s="60">
        <v>0</v>
      </c>
      <c r="BG25" s="60">
        <v>0</v>
      </c>
      <c r="BH25" s="60">
        <v>0</v>
      </c>
      <c r="BI25" s="60">
        <v>0</v>
      </c>
    </row>
    <row r="26" spans="1:61" x14ac:dyDescent="0.3">
      <c r="A26" s="372"/>
      <c r="B26" s="372"/>
      <c r="D26" s="65" t="s">
        <v>302</v>
      </c>
      <c r="E26" s="37">
        <v>1</v>
      </c>
      <c r="F26" s="37">
        <v>1</v>
      </c>
      <c r="G26" s="37">
        <v>1</v>
      </c>
      <c r="I26" s="65" t="s">
        <v>302</v>
      </c>
      <c r="J26" s="37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46"/>
      <c r="Q26" s="46"/>
      <c r="R26" s="46"/>
      <c r="S26" s="37">
        <v>1</v>
      </c>
      <c r="T26" s="63">
        <v>0</v>
      </c>
      <c r="U26" s="63">
        <v>0</v>
      </c>
      <c r="V26" s="37">
        <v>1</v>
      </c>
      <c r="AG26" s="46"/>
      <c r="AH26" s="46"/>
      <c r="AI26" s="46"/>
      <c r="AO26" s="65" t="s">
        <v>91</v>
      </c>
      <c r="AP26" s="37">
        <v>1</v>
      </c>
      <c r="AQ26" s="37">
        <v>0</v>
      </c>
      <c r="AR26" s="63">
        <v>0</v>
      </c>
      <c r="AU26" s="54" t="e">
        <f>VLOOKUP(Summary!H44,AO5:AR300,MATCH(AP5,AO5:AR5),FALSE)</f>
        <v>#N/A</v>
      </c>
      <c r="AV26" s="54" t="e">
        <f>VLOOKUP(Summary!H44,AO5:AR300,MATCH(AQ5,AO5:AR5),FALSE)</f>
        <v>#N/A</v>
      </c>
      <c r="AW26" s="54" t="e">
        <f>VLOOKUP(Summary!H44,AO5:AR300,MATCH(AR5,AO5:AR5),FALSE)</f>
        <v>#N/A</v>
      </c>
      <c r="AY26" s="48"/>
      <c r="AZ26" s="65" t="s">
        <v>91</v>
      </c>
      <c r="BA26" s="48">
        <v>1</v>
      </c>
      <c r="BB26" s="63">
        <v>0</v>
      </c>
      <c r="BC26" s="63">
        <v>0</v>
      </c>
      <c r="BD26" s="63">
        <v>0</v>
      </c>
      <c r="BE26" s="48"/>
      <c r="BF26" s="60">
        <v>0</v>
      </c>
      <c r="BG26" s="60">
        <v>0</v>
      </c>
      <c r="BH26" s="60">
        <v>0</v>
      </c>
      <c r="BI26" s="60">
        <v>0</v>
      </c>
    </row>
    <row r="27" spans="1:61" x14ac:dyDescent="0.3">
      <c r="A27" s="372"/>
      <c r="B27" s="372"/>
      <c r="D27" s="65" t="s">
        <v>301</v>
      </c>
      <c r="E27" s="37">
        <v>1</v>
      </c>
      <c r="F27" s="37">
        <v>1</v>
      </c>
      <c r="G27" s="37">
        <v>1</v>
      </c>
      <c r="I27" s="65" t="s">
        <v>301</v>
      </c>
      <c r="J27" s="37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46"/>
      <c r="Q27" s="46"/>
      <c r="R27" s="46"/>
      <c r="S27" s="37">
        <v>1</v>
      </c>
      <c r="T27" s="63">
        <v>0</v>
      </c>
      <c r="U27" s="63">
        <v>0</v>
      </c>
      <c r="W27" s="37">
        <v>8</v>
      </c>
      <c r="X27" s="50" t="e">
        <f>VLOOKUP(Summary!H31,D7:U300,MATCH(E7,D7:G7),FALSE)</f>
        <v>#N/A</v>
      </c>
      <c r="Y27" s="50" t="e">
        <f>VLOOKUP(Summary!H31,D7:U300,MATCH(F7,D7:G7),FALSE)</f>
        <v>#N/A</v>
      </c>
      <c r="Z27" s="50" t="e">
        <f>VLOOKUP(Summary!H31,D7:G300,MATCH(G7,D7:G7),FALSE)</f>
        <v>#N/A</v>
      </c>
      <c r="AA27" s="50" t="e">
        <f>VLOOKUP(Summary!H31,I7:U300,MATCH(J7,I7:L7),FALSE)</f>
        <v>#N/A</v>
      </c>
      <c r="AB27" s="36" t="e">
        <f>VLOOKUP(Summary!H31,I7:U300,MATCH(K7,I7:L7),FALSE)</f>
        <v>#N/A</v>
      </c>
      <c r="AC27" s="54" t="e">
        <f>VLOOKUP(Summary!H31,I7:U300,MATCH(L7,I7:L7),FALSE)</f>
        <v>#N/A</v>
      </c>
      <c r="AD27" s="54" t="e">
        <f>VLOOKUP(Summary!H31,D7:U300,MATCH(M7,D7:U7),FALSE)</f>
        <v>#N/A</v>
      </c>
      <c r="AE27" s="54" t="e">
        <f>VLOOKUP(Summary!H31,I7:U300,MATCH(N7,I7:N7),FALSE)</f>
        <v>#N/A</v>
      </c>
      <c r="AF27" s="54" t="e">
        <f>VLOOKUP(Summary!H31,I7:U300,MATCH(O7,I7:U7),FALSE)</f>
        <v>#N/A</v>
      </c>
      <c r="AG27" s="46"/>
      <c r="AH27" s="46"/>
      <c r="AI27" s="46"/>
      <c r="AJ27" s="54" t="e">
        <f>VLOOKUP(Summary!H31,I7:U300,MATCH(S7,I7:U7),FALSE)</f>
        <v>#N/A</v>
      </c>
      <c r="AK27" s="54" t="e">
        <f>VLOOKUP(Summary!H31,I7:U300,MATCH(T7,I7:U7),FALSE)</f>
        <v>#N/A</v>
      </c>
      <c r="AL27" s="54" t="e">
        <f>VLOOKUP(Summary!H31,I7:U300,MATCH(U7,I7:U7),FALSE)</f>
        <v>#N/A</v>
      </c>
      <c r="AO27" s="65" t="s">
        <v>303</v>
      </c>
      <c r="AP27" s="37">
        <v>1</v>
      </c>
      <c r="AQ27" s="37">
        <v>0</v>
      </c>
      <c r="AR27" s="63">
        <v>0</v>
      </c>
      <c r="AU27" s="57" t="e">
        <f>SUM(AU6:AU26)</f>
        <v>#N/A</v>
      </c>
      <c r="AV27" s="57" t="e">
        <f>SUM(AV6:AV26)</f>
        <v>#N/A</v>
      </c>
      <c r="AW27" s="57" t="e">
        <f>SUM(AW6:AW26)</f>
        <v>#N/A</v>
      </c>
      <c r="AY27" s="48"/>
      <c r="AZ27" s="65" t="s">
        <v>303</v>
      </c>
      <c r="BA27" s="48">
        <v>1</v>
      </c>
      <c r="BB27" s="63">
        <v>0</v>
      </c>
      <c r="BC27" s="63">
        <v>0</v>
      </c>
      <c r="BD27" s="63">
        <v>0</v>
      </c>
      <c r="BE27" s="48"/>
      <c r="BF27" s="60">
        <v>0</v>
      </c>
      <c r="BG27" s="60">
        <v>0</v>
      </c>
      <c r="BH27" s="60">
        <v>0</v>
      </c>
      <c r="BI27" s="60">
        <v>0</v>
      </c>
    </row>
    <row r="28" spans="1:61" x14ac:dyDescent="0.3">
      <c r="A28" s="372"/>
      <c r="B28" s="372"/>
      <c r="D28" s="65" t="s">
        <v>91</v>
      </c>
      <c r="E28" s="37">
        <v>1</v>
      </c>
      <c r="F28" s="37">
        <v>1</v>
      </c>
      <c r="G28" s="37">
        <v>0</v>
      </c>
      <c r="I28" s="65" t="s">
        <v>91</v>
      </c>
      <c r="J28" s="37">
        <v>0</v>
      </c>
      <c r="K28" s="63">
        <v>0</v>
      </c>
      <c r="L28" s="63">
        <v>0</v>
      </c>
      <c r="M28" s="63">
        <v>0</v>
      </c>
      <c r="N28" s="63">
        <v>0</v>
      </c>
      <c r="O28" s="63">
        <v>0</v>
      </c>
      <c r="P28" s="46"/>
      <c r="Q28" s="46"/>
      <c r="R28" s="46"/>
      <c r="S28" s="37">
        <v>1</v>
      </c>
      <c r="T28" s="63">
        <v>0</v>
      </c>
      <c r="U28" s="63">
        <v>0</v>
      </c>
      <c r="X28" s="36"/>
      <c r="Y28" s="36"/>
      <c r="Z28" s="36"/>
      <c r="AA28" s="50"/>
      <c r="AB28" s="36"/>
      <c r="AC28" s="36"/>
      <c r="AD28" s="36"/>
      <c r="AE28" s="36"/>
      <c r="AF28" s="36"/>
      <c r="AG28" s="46"/>
      <c r="AH28" s="46"/>
      <c r="AI28" s="46"/>
      <c r="AJ28" s="36"/>
      <c r="AK28" s="36"/>
      <c r="AL28" s="36"/>
      <c r="AO28" s="65" t="s">
        <v>304</v>
      </c>
      <c r="AP28" s="37">
        <v>1</v>
      </c>
      <c r="AQ28" s="37">
        <v>0</v>
      </c>
      <c r="AR28" s="63">
        <v>0</v>
      </c>
      <c r="AY28" s="48"/>
      <c r="AZ28" s="65" t="s">
        <v>304</v>
      </c>
      <c r="BA28" s="48">
        <v>1</v>
      </c>
      <c r="BB28" s="63">
        <v>0</v>
      </c>
      <c r="BC28" s="63">
        <v>0</v>
      </c>
      <c r="BD28" s="63">
        <v>0</v>
      </c>
      <c r="BE28" s="48"/>
    </row>
    <row r="29" spans="1:61" x14ac:dyDescent="0.3">
      <c r="A29" s="372"/>
      <c r="B29" s="372"/>
      <c r="D29" s="65" t="s">
        <v>303</v>
      </c>
      <c r="E29" s="37">
        <v>1</v>
      </c>
      <c r="F29" s="37">
        <v>1</v>
      </c>
      <c r="G29" s="37">
        <v>0</v>
      </c>
      <c r="I29" s="65" t="s">
        <v>303</v>
      </c>
      <c r="J29" s="37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46"/>
      <c r="Q29" s="46"/>
      <c r="R29" s="46"/>
      <c r="S29" s="37">
        <v>1</v>
      </c>
      <c r="T29" s="63">
        <v>0</v>
      </c>
      <c r="U29" s="63">
        <v>0</v>
      </c>
      <c r="AG29" s="46"/>
      <c r="AH29" s="46"/>
      <c r="AI29" s="46"/>
      <c r="AO29" s="65" t="s">
        <v>307</v>
      </c>
      <c r="AP29" s="37">
        <v>1</v>
      </c>
      <c r="AQ29" s="37">
        <v>0</v>
      </c>
      <c r="AR29" s="63">
        <v>0</v>
      </c>
      <c r="AV29" s="76" t="s">
        <v>424</v>
      </c>
      <c r="AZ29" s="65" t="s">
        <v>307</v>
      </c>
      <c r="BA29" s="37">
        <v>1</v>
      </c>
      <c r="BB29" s="63">
        <v>0</v>
      </c>
      <c r="BC29" s="63">
        <v>0</v>
      </c>
      <c r="BD29" s="63">
        <v>0</v>
      </c>
      <c r="BG29" s="374" t="s">
        <v>424</v>
      </c>
      <c r="BH29" s="374"/>
    </row>
    <row r="30" spans="1:61" x14ac:dyDescent="0.3">
      <c r="A30" s="372"/>
      <c r="B30" s="372"/>
      <c r="D30" s="65" t="s">
        <v>304</v>
      </c>
      <c r="E30" s="37">
        <v>0</v>
      </c>
      <c r="F30" s="37">
        <v>0</v>
      </c>
      <c r="G30" s="37">
        <v>0</v>
      </c>
      <c r="I30" s="65" t="s">
        <v>304</v>
      </c>
      <c r="J30" s="37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46"/>
      <c r="Q30" s="46"/>
      <c r="R30" s="46"/>
      <c r="S30" s="37">
        <v>1</v>
      </c>
      <c r="T30" s="63">
        <v>0</v>
      </c>
      <c r="U30" s="63">
        <v>0</v>
      </c>
      <c r="W30" s="37">
        <v>9</v>
      </c>
      <c r="X30" s="36" t="e">
        <f>VLOOKUP(Summary!H32,D7:U300,MATCH(E7,D7:G7),FALSE)</f>
        <v>#N/A</v>
      </c>
      <c r="Y30" s="50" t="e">
        <f>VLOOKUP(Summary!H32,D7:U300,MATCH(F7,D7:G7),FALSE)</f>
        <v>#N/A</v>
      </c>
      <c r="Z30" s="50" t="e">
        <f>VLOOKUP(Summary!H32,D7:G300,MATCH(G7,D7:G7),FALSE)</f>
        <v>#N/A</v>
      </c>
      <c r="AA30" s="50" t="e">
        <f>VLOOKUP(Summary!H32,I7:U300,MATCH(J7,I7:L7),FALSE)</f>
        <v>#N/A</v>
      </c>
      <c r="AB30" s="50" t="e">
        <f>VLOOKUP(Summary!H32,I7:U300,MATCH(K7,I7:L7),FALSE)</f>
        <v>#N/A</v>
      </c>
      <c r="AC30" s="54" t="e">
        <f>VLOOKUP(Summary!H32,I7:U300,MATCH(L7,I7:L7),FALSE)</f>
        <v>#N/A</v>
      </c>
      <c r="AD30" s="54" t="e">
        <f>VLOOKUP(Summary!H32,D7:U300,MATCH(M7,D7:U7),FALSE)</f>
        <v>#N/A</v>
      </c>
      <c r="AE30" s="54" t="e">
        <f>VLOOKUP(Summary!H32,I7:U300,MATCH(N7,I7:N7),FALSE)</f>
        <v>#N/A</v>
      </c>
      <c r="AF30" s="54" t="e">
        <f>VLOOKUP(Summary!H32,I7:U300,MATCH(O7,I7:U7),FALSE)</f>
        <v>#N/A</v>
      </c>
      <c r="AG30" s="46"/>
      <c r="AH30" s="46"/>
      <c r="AI30" s="46"/>
      <c r="AJ30" s="54" t="e">
        <f>VLOOKUP(Summary!H32,I7:U300,MATCH(S7,I7:U7),FALSE)</f>
        <v>#N/A</v>
      </c>
      <c r="AK30" s="54" t="e">
        <f>VLOOKUP(Summary!H32,I7:U300,MATCH(T7,I7:U7),FALSE)</f>
        <v>#N/A</v>
      </c>
      <c r="AL30" s="54" t="e">
        <f>VLOOKUP(Summary!H32,I7:U300,MATCH(U7,I7:U7),FALSE)</f>
        <v>#N/A</v>
      </c>
      <c r="AO30" s="65" t="s">
        <v>306</v>
      </c>
      <c r="AP30" s="37">
        <v>1</v>
      </c>
      <c r="AQ30" s="37">
        <v>0</v>
      </c>
      <c r="AR30" s="63">
        <v>0</v>
      </c>
      <c r="AU30" s="72" t="s">
        <v>17</v>
      </c>
      <c r="AV30" s="72" t="s">
        <v>18</v>
      </c>
      <c r="AW30" s="72" t="s">
        <v>19</v>
      </c>
      <c r="AZ30" s="65" t="s">
        <v>306</v>
      </c>
      <c r="BA30" s="37">
        <v>1</v>
      </c>
      <c r="BB30" s="63">
        <v>0</v>
      </c>
      <c r="BC30" s="63">
        <v>0</v>
      </c>
      <c r="BD30" s="63">
        <v>0</v>
      </c>
      <c r="BF30" s="72" t="s">
        <v>336</v>
      </c>
      <c r="BG30" s="72" t="s">
        <v>337</v>
      </c>
      <c r="BH30" s="72" t="s">
        <v>338</v>
      </c>
      <c r="BI30" s="72" t="s">
        <v>339</v>
      </c>
    </row>
    <row r="31" spans="1:61" x14ac:dyDescent="0.3">
      <c r="A31" s="372"/>
      <c r="B31" s="372"/>
      <c r="D31" s="65" t="s">
        <v>307</v>
      </c>
      <c r="E31" s="37">
        <v>1</v>
      </c>
      <c r="F31" s="37">
        <v>1</v>
      </c>
      <c r="G31" s="37">
        <v>0</v>
      </c>
      <c r="I31" s="65" t="s">
        <v>307</v>
      </c>
      <c r="J31" s="37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46"/>
      <c r="Q31" s="46"/>
      <c r="R31" s="46"/>
      <c r="S31" s="37">
        <v>1</v>
      </c>
      <c r="T31" s="63">
        <v>0</v>
      </c>
      <c r="U31" s="63">
        <v>0</v>
      </c>
      <c r="X31" s="36"/>
      <c r="Y31" s="36"/>
      <c r="Z31" s="36"/>
      <c r="AA31" s="36"/>
      <c r="AB31" s="36"/>
      <c r="AC31" s="36"/>
      <c r="AD31" s="36"/>
      <c r="AE31" s="36"/>
      <c r="AF31" s="36"/>
      <c r="AG31" s="46"/>
      <c r="AH31" s="46"/>
      <c r="AI31" s="46"/>
      <c r="AJ31" s="36"/>
      <c r="AK31" s="36"/>
      <c r="AL31" s="36"/>
      <c r="AO31" s="65" t="s">
        <v>305</v>
      </c>
      <c r="AP31" s="37">
        <v>1</v>
      </c>
      <c r="AQ31" s="37">
        <v>0</v>
      </c>
      <c r="AR31" s="63">
        <v>0</v>
      </c>
      <c r="AU31" s="70"/>
      <c r="AV31" s="70"/>
      <c r="AW31" s="70"/>
      <c r="AZ31" s="65" t="s">
        <v>305</v>
      </c>
      <c r="BA31" s="37">
        <v>1</v>
      </c>
      <c r="BB31" s="63">
        <v>0</v>
      </c>
      <c r="BC31" s="63">
        <v>0</v>
      </c>
      <c r="BD31" s="63">
        <v>0</v>
      </c>
      <c r="BF31" s="70"/>
      <c r="BG31" s="70"/>
      <c r="BH31" s="70"/>
      <c r="BI31" s="70"/>
    </row>
    <row r="32" spans="1:61" x14ac:dyDescent="0.3">
      <c r="A32" s="372"/>
      <c r="B32" s="372"/>
      <c r="D32" s="65" t="s">
        <v>306</v>
      </c>
      <c r="E32" s="37">
        <v>1</v>
      </c>
      <c r="F32" s="37">
        <v>1</v>
      </c>
      <c r="G32" s="37">
        <v>0</v>
      </c>
      <c r="I32" s="65" t="s">
        <v>306</v>
      </c>
      <c r="J32" s="37">
        <v>0</v>
      </c>
      <c r="K32" s="63">
        <v>0</v>
      </c>
      <c r="L32" s="63">
        <v>0</v>
      </c>
      <c r="M32" s="63">
        <v>0</v>
      </c>
      <c r="N32" s="63">
        <v>0</v>
      </c>
      <c r="O32" s="63">
        <v>0</v>
      </c>
      <c r="P32" s="46"/>
      <c r="Q32" s="46"/>
      <c r="R32" s="46"/>
      <c r="S32" s="37">
        <v>1</v>
      </c>
      <c r="T32" s="63">
        <v>0</v>
      </c>
      <c r="U32" s="63">
        <v>0</v>
      </c>
      <c r="AG32" s="46"/>
      <c r="AH32" s="46"/>
      <c r="AI32" s="46"/>
      <c r="AO32" s="65" t="s">
        <v>300</v>
      </c>
      <c r="AP32" s="37">
        <v>1</v>
      </c>
      <c r="AQ32" s="37">
        <v>0</v>
      </c>
      <c r="AR32" s="63">
        <v>0</v>
      </c>
      <c r="AU32" s="73"/>
      <c r="AV32" s="73"/>
      <c r="AW32" s="73"/>
      <c r="AZ32" s="65" t="s">
        <v>300</v>
      </c>
      <c r="BA32" s="37">
        <v>1</v>
      </c>
      <c r="BB32" s="63">
        <v>0</v>
      </c>
      <c r="BC32" s="63">
        <v>0</v>
      </c>
      <c r="BD32" s="63">
        <v>0</v>
      </c>
      <c r="BF32" s="73"/>
      <c r="BG32" s="73"/>
      <c r="BH32" s="73"/>
      <c r="BI32" s="73"/>
    </row>
    <row r="33" spans="1:61" x14ac:dyDescent="0.3">
      <c r="A33" s="372"/>
      <c r="B33" s="372"/>
      <c r="D33" s="65" t="s">
        <v>305</v>
      </c>
      <c r="E33" s="37">
        <v>1</v>
      </c>
      <c r="F33" s="37">
        <v>1</v>
      </c>
      <c r="G33" s="37">
        <v>0</v>
      </c>
      <c r="I33" s="65" t="s">
        <v>305</v>
      </c>
      <c r="J33" s="37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46"/>
      <c r="Q33" s="46"/>
      <c r="R33" s="46"/>
      <c r="S33" s="37">
        <v>1</v>
      </c>
      <c r="T33" s="63">
        <v>0</v>
      </c>
      <c r="U33" s="63">
        <v>0</v>
      </c>
      <c r="W33" s="37">
        <v>10</v>
      </c>
      <c r="X33" s="36" t="e">
        <f>VLOOKUP(Summary!H33,D7:U300,MATCH(E7,D7:G7),FALSE)</f>
        <v>#N/A</v>
      </c>
      <c r="Y33" s="50" t="e">
        <f>VLOOKUP(Summary!H33,D7:U300,MATCH(F7,D7:G7),FALSE)</f>
        <v>#N/A</v>
      </c>
      <c r="Z33" s="50" t="e">
        <f>VLOOKUP(Summary!H33,D7:G300,MATCH(G7,D7:G7),FALSE)</f>
        <v>#N/A</v>
      </c>
      <c r="AA33" s="50" t="e">
        <f>VLOOKUP(Summary!H33,I7:U300,MATCH(J7,I7:L7),FALSE)</f>
        <v>#N/A</v>
      </c>
      <c r="AB33" s="50" t="e">
        <f>VLOOKUP(Summary!H33,I7:U300,MATCH(K7,I7:L7),FALSE)</f>
        <v>#N/A</v>
      </c>
      <c r="AC33" s="54" t="e">
        <f>VLOOKUP(Summary!H33,I7:U300,MATCH(L7,I7:L7),FALSE)</f>
        <v>#N/A</v>
      </c>
      <c r="AD33" s="54" t="e">
        <f>VLOOKUP(Summary!H33,D7:U300,MATCH(M7,D7:U7),FALSE)</f>
        <v>#N/A</v>
      </c>
      <c r="AE33" s="54" t="e">
        <f>VLOOKUP(Summary!H33,I7:U300,MATCH(N7,I7:N7),FALSE)</f>
        <v>#N/A</v>
      </c>
      <c r="AF33" s="54" t="e">
        <f>VLOOKUP(Summary!H33,I7:U300,MATCH(O7,I7:U7),FALSE)</f>
        <v>#N/A</v>
      </c>
      <c r="AG33" s="46"/>
      <c r="AH33" s="46"/>
      <c r="AI33" s="46"/>
      <c r="AJ33" s="54" t="e">
        <f>VLOOKUP(Summary!H33,I7:U300,MATCH(S7,I7:U7),FALSE)</f>
        <v>#N/A</v>
      </c>
      <c r="AK33" s="54" t="e">
        <f>VLOOKUP(Summary!H33,I7:U300,MATCH(T7,I7:U7),FALSE)</f>
        <v>#N/A</v>
      </c>
      <c r="AL33" s="54" t="e">
        <f>VLOOKUP(Summary!H33,I7:U300,MATCH(U7,I7:U7),FALSE)</f>
        <v>#N/A</v>
      </c>
      <c r="AO33" s="65" t="s">
        <v>238</v>
      </c>
      <c r="AP33" s="37">
        <v>0</v>
      </c>
      <c r="AQ33" s="37">
        <v>0</v>
      </c>
      <c r="AR33" s="37">
        <v>0</v>
      </c>
      <c r="AU33" s="70"/>
      <c r="AV33" s="70"/>
      <c r="AW33" s="70"/>
      <c r="AZ33" s="65" t="s">
        <v>238</v>
      </c>
      <c r="BA33" s="37">
        <v>0</v>
      </c>
      <c r="BB33" s="63">
        <v>0</v>
      </c>
      <c r="BC33" s="63">
        <v>0</v>
      </c>
      <c r="BD33" s="63">
        <v>0</v>
      </c>
      <c r="BF33" s="70"/>
      <c r="BG33" s="70"/>
      <c r="BH33" s="70"/>
      <c r="BI33" s="70"/>
    </row>
    <row r="34" spans="1:61" x14ac:dyDescent="0.3">
      <c r="A34" s="372"/>
      <c r="B34" s="372"/>
      <c r="D34" s="65" t="s">
        <v>300</v>
      </c>
      <c r="E34" s="37">
        <v>1</v>
      </c>
      <c r="F34" s="37">
        <v>1</v>
      </c>
      <c r="G34" s="37">
        <v>1</v>
      </c>
      <c r="I34" s="65" t="s">
        <v>300</v>
      </c>
      <c r="J34" s="37">
        <v>0</v>
      </c>
      <c r="K34" s="63">
        <v>0</v>
      </c>
      <c r="L34" s="63">
        <v>0</v>
      </c>
      <c r="M34" s="63">
        <v>0</v>
      </c>
      <c r="N34" s="63">
        <v>0</v>
      </c>
      <c r="O34" s="63">
        <v>0</v>
      </c>
      <c r="P34" s="46"/>
      <c r="Q34" s="46"/>
      <c r="R34" s="46"/>
      <c r="S34" s="37">
        <v>1</v>
      </c>
      <c r="T34" s="63">
        <v>0</v>
      </c>
      <c r="U34" s="63">
        <v>0</v>
      </c>
      <c r="X34" s="36"/>
      <c r="Y34" s="36"/>
      <c r="Z34" s="36"/>
      <c r="AA34" s="36"/>
      <c r="AB34" s="36"/>
      <c r="AC34" s="36"/>
      <c r="AD34" s="36"/>
      <c r="AE34" s="36"/>
      <c r="AF34" s="36"/>
      <c r="AG34" s="46"/>
      <c r="AH34" s="46"/>
      <c r="AI34" s="46"/>
      <c r="AJ34" s="36"/>
      <c r="AK34" s="36"/>
      <c r="AL34" s="36"/>
      <c r="AO34" s="65" t="s">
        <v>273</v>
      </c>
      <c r="AP34" s="37">
        <v>1</v>
      </c>
      <c r="AQ34" s="37">
        <v>0</v>
      </c>
      <c r="AR34" s="37">
        <v>0</v>
      </c>
      <c r="AU34" s="70"/>
      <c r="AV34" s="70"/>
      <c r="AW34" s="70"/>
      <c r="AZ34" s="65" t="s">
        <v>273</v>
      </c>
      <c r="BA34" s="37">
        <v>1</v>
      </c>
      <c r="BB34" s="63">
        <v>0</v>
      </c>
      <c r="BC34" s="63">
        <v>0</v>
      </c>
      <c r="BD34" s="63">
        <v>0</v>
      </c>
      <c r="BF34" s="70"/>
      <c r="BG34" s="70"/>
      <c r="BH34" s="70"/>
      <c r="BI34" s="70"/>
    </row>
    <row r="35" spans="1:61" x14ac:dyDescent="0.3">
      <c r="A35" s="88"/>
      <c r="B35" s="88"/>
      <c r="D35" s="65" t="s">
        <v>238</v>
      </c>
      <c r="E35" s="37">
        <v>0</v>
      </c>
      <c r="F35" s="37">
        <v>0</v>
      </c>
      <c r="G35" s="37">
        <v>0</v>
      </c>
      <c r="I35" s="65" t="s">
        <v>238</v>
      </c>
      <c r="J35" s="37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S35" s="37">
        <v>0</v>
      </c>
      <c r="T35" s="37">
        <v>0</v>
      </c>
      <c r="U35" s="37">
        <v>0</v>
      </c>
      <c r="AG35" s="46"/>
      <c r="AH35" s="46"/>
      <c r="AI35" s="46"/>
      <c r="AO35" s="65" t="s">
        <v>274</v>
      </c>
      <c r="AP35" s="37">
        <v>1</v>
      </c>
      <c r="AQ35" s="37">
        <v>0</v>
      </c>
      <c r="AR35" s="37">
        <v>0</v>
      </c>
      <c r="AU35" s="70"/>
      <c r="AV35" s="70"/>
      <c r="AW35" s="70"/>
      <c r="AZ35" s="65" t="s">
        <v>274</v>
      </c>
      <c r="BA35" s="37">
        <v>1</v>
      </c>
      <c r="BB35" s="63">
        <v>0</v>
      </c>
      <c r="BC35" s="63">
        <v>0</v>
      </c>
      <c r="BD35" s="63">
        <v>0</v>
      </c>
      <c r="BF35" s="70"/>
      <c r="BG35" s="70"/>
      <c r="BH35" s="70"/>
      <c r="BI35" s="70"/>
    </row>
    <row r="36" spans="1:61" x14ac:dyDescent="0.3">
      <c r="A36" s="372" t="s">
        <v>434</v>
      </c>
      <c r="B36" s="372"/>
      <c r="D36" s="65" t="s">
        <v>273</v>
      </c>
      <c r="E36" s="37">
        <v>1</v>
      </c>
      <c r="F36" s="37">
        <v>1</v>
      </c>
      <c r="G36" s="37">
        <v>1</v>
      </c>
      <c r="I36" s="65" t="s">
        <v>273</v>
      </c>
      <c r="J36" s="37">
        <v>0</v>
      </c>
      <c r="K36" s="37">
        <v>0</v>
      </c>
      <c r="L36" s="37">
        <v>0</v>
      </c>
      <c r="M36" s="37">
        <v>0</v>
      </c>
      <c r="N36" s="37">
        <v>0</v>
      </c>
      <c r="O36" s="37">
        <v>0</v>
      </c>
      <c r="S36" s="37">
        <v>1</v>
      </c>
      <c r="T36" s="37">
        <v>0</v>
      </c>
      <c r="U36" s="37">
        <v>0</v>
      </c>
      <c r="W36" s="37">
        <v>11</v>
      </c>
      <c r="X36" s="50" t="e">
        <f>VLOOKUP(Summary!H34,D7:U300,MATCH(E7,D7:G7),FALSE)</f>
        <v>#N/A</v>
      </c>
      <c r="Y36" s="50" t="e">
        <f>VLOOKUP(Summary!H34,D7:U300,MATCH(F7,D7:G7),FALSE)</f>
        <v>#N/A</v>
      </c>
      <c r="Z36" s="50" t="e">
        <f>VLOOKUP(Summary!H34,D7:G300,MATCH(G7,D7:G7),FALSE)</f>
        <v>#N/A</v>
      </c>
      <c r="AA36" s="50" t="e">
        <f>VLOOKUP(Summary!H34,I7:U300,MATCH(J7,I7:L7),FALSE)</f>
        <v>#N/A</v>
      </c>
      <c r="AB36" s="50" t="e">
        <f>VLOOKUP(Summary!H34,I7:U300,MATCH(K7,I7:L7),FALSE)</f>
        <v>#N/A</v>
      </c>
      <c r="AC36" s="54" t="e">
        <f>VLOOKUP(Summary!H34,I7:U300,MATCH(L7,I7:L7),FALSE)</f>
        <v>#N/A</v>
      </c>
      <c r="AD36" s="54" t="e">
        <f>VLOOKUP(Summary!H34,D7:U300,MATCH(M7,D7:U7),FALSE)</f>
        <v>#N/A</v>
      </c>
      <c r="AE36" s="54" t="e">
        <f>VLOOKUP(Summary!H34,I7:U300,MATCH(N7,I7:N7),FALSE)</f>
        <v>#N/A</v>
      </c>
      <c r="AF36" s="54" t="e">
        <f>VLOOKUP(Summary!H34,I7:U300,MATCH(O7,I7:U7),FALSE)</f>
        <v>#N/A</v>
      </c>
      <c r="AG36" s="46"/>
      <c r="AH36" s="46"/>
      <c r="AI36" s="46"/>
      <c r="AJ36" s="54" t="e">
        <f>VLOOKUP(Summary!H34,I7:U300,MATCH(S7,I7:U7),FALSE)</f>
        <v>#N/A</v>
      </c>
      <c r="AK36" s="54" t="e">
        <f>VLOOKUP(Summary!H34,I7:U300,MATCH(T7,I7:U7),FALSE)</f>
        <v>#N/A</v>
      </c>
      <c r="AL36" s="54" t="e">
        <f>VLOOKUP(Summary!H34,I7:U300,MATCH(U7,I7:U7),FALSE)</f>
        <v>#N/A</v>
      </c>
      <c r="AO36" s="65" t="s">
        <v>278</v>
      </c>
      <c r="AP36" s="37">
        <v>1</v>
      </c>
      <c r="AQ36" s="37">
        <v>0</v>
      </c>
      <c r="AR36" s="37">
        <v>0</v>
      </c>
      <c r="AU36" s="70"/>
      <c r="AV36" s="70"/>
      <c r="AW36" s="70"/>
      <c r="AZ36" s="65" t="s">
        <v>278</v>
      </c>
      <c r="BA36" s="37">
        <v>1</v>
      </c>
      <c r="BB36" s="37">
        <v>0</v>
      </c>
      <c r="BC36" s="37">
        <v>0</v>
      </c>
      <c r="BD36" s="37">
        <v>0</v>
      </c>
      <c r="BF36" s="70"/>
      <c r="BG36" s="70"/>
      <c r="BH36" s="70"/>
      <c r="BI36" s="70"/>
    </row>
    <row r="37" spans="1:61" x14ac:dyDescent="0.3">
      <c r="A37" s="372"/>
      <c r="B37" s="372"/>
      <c r="D37" s="65" t="s">
        <v>274</v>
      </c>
      <c r="E37" s="37">
        <v>1</v>
      </c>
      <c r="F37" s="37">
        <v>1</v>
      </c>
      <c r="G37" s="37">
        <v>0</v>
      </c>
      <c r="I37" s="65" t="s">
        <v>274</v>
      </c>
      <c r="J37" s="37">
        <v>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S37" s="37">
        <v>1</v>
      </c>
      <c r="T37" s="37">
        <v>0</v>
      </c>
      <c r="U37" s="37">
        <v>0</v>
      </c>
      <c r="X37" s="36"/>
      <c r="Y37" s="36"/>
      <c r="Z37" s="36"/>
      <c r="AA37" s="36"/>
      <c r="AB37" s="36"/>
      <c r="AC37" s="36"/>
      <c r="AD37" s="36"/>
      <c r="AE37" s="36"/>
      <c r="AF37" s="36"/>
      <c r="AG37" s="46"/>
      <c r="AH37" s="46"/>
      <c r="AI37" s="46"/>
      <c r="AJ37" s="36"/>
      <c r="AK37" s="36"/>
      <c r="AL37" s="36"/>
      <c r="AO37" s="65" t="s">
        <v>282</v>
      </c>
      <c r="AP37" s="37">
        <v>1</v>
      </c>
      <c r="AQ37" s="37">
        <v>0</v>
      </c>
      <c r="AR37" s="37">
        <v>0</v>
      </c>
      <c r="AU37" s="70"/>
      <c r="AV37" s="70"/>
      <c r="AW37" s="70"/>
      <c r="AZ37" s="65" t="s">
        <v>282</v>
      </c>
      <c r="BA37" s="37">
        <v>1</v>
      </c>
      <c r="BB37" s="37">
        <v>0</v>
      </c>
      <c r="BC37" s="37">
        <v>0</v>
      </c>
      <c r="BD37" s="37">
        <v>0</v>
      </c>
      <c r="BF37" s="70"/>
      <c r="BG37" s="70"/>
      <c r="BH37" s="70"/>
      <c r="BI37" s="70"/>
    </row>
    <row r="38" spans="1:61" x14ac:dyDescent="0.3">
      <c r="A38" s="372"/>
      <c r="B38" s="372"/>
      <c r="D38" s="65" t="s">
        <v>278</v>
      </c>
      <c r="E38" s="37">
        <v>1</v>
      </c>
      <c r="F38" s="37">
        <v>0</v>
      </c>
      <c r="G38" s="37">
        <v>0</v>
      </c>
      <c r="I38" s="65" t="s">
        <v>278</v>
      </c>
      <c r="J38" s="37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S38" s="37">
        <v>1</v>
      </c>
      <c r="T38" s="37">
        <v>0</v>
      </c>
      <c r="U38" s="37">
        <v>0</v>
      </c>
      <c r="AG38" s="46"/>
      <c r="AH38" s="46"/>
      <c r="AI38" s="46"/>
      <c r="AO38" s="65" t="s">
        <v>281</v>
      </c>
      <c r="AP38" s="37">
        <v>1</v>
      </c>
      <c r="AQ38" s="37">
        <v>0</v>
      </c>
      <c r="AR38" s="37">
        <v>0</v>
      </c>
      <c r="AU38" s="70"/>
      <c r="AV38" s="70"/>
      <c r="AW38" s="70"/>
      <c r="AZ38" s="65" t="s">
        <v>281</v>
      </c>
      <c r="BA38" s="37">
        <v>1</v>
      </c>
      <c r="BB38" s="37">
        <v>0</v>
      </c>
      <c r="BC38" s="37">
        <v>0</v>
      </c>
      <c r="BD38" s="37">
        <v>0</v>
      </c>
      <c r="BF38" s="70"/>
      <c r="BG38" s="70"/>
      <c r="BH38" s="70"/>
      <c r="BI38" s="70"/>
    </row>
    <row r="39" spans="1:61" x14ac:dyDescent="0.3">
      <c r="A39" s="372"/>
      <c r="B39" s="372"/>
      <c r="D39" s="65" t="s">
        <v>282</v>
      </c>
      <c r="E39" s="37">
        <v>1</v>
      </c>
      <c r="F39" s="37">
        <v>0</v>
      </c>
      <c r="G39" s="37">
        <v>0</v>
      </c>
      <c r="I39" s="65" t="s">
        <v>282</v>
      </c>
      <c r="J39" s="37"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S39" s="37">
        <v>1</v>
      </c>
      <c r="T39" s="37">
        <v>0</v>
      </c>
      <c r="U39" s="37">
        <v>0</v>
      </c>
      <c r="W39" s="37">
        <v>12</v>
      </c>
      <c r="X39" s="50" t="e">
        <f>VLOOKUP(Summary!H35,D7:U300,MATCH(E7,D7:G7),FALSE)</f>
        <v>#N/A</v>
      </c>
      <c r="Y39" s="50" t="e">
        <f>VLOOKUP(Summary!H35,D7:U300,MATCH(F7,D7:G7),FALSE)</f>
        <v>#N/A</v>
      </c>
      <c r="Z39" s="50" t="e">
        <f>VLOOKUP(Summary!H35,D7:G300,MATCH(G7,D7:G7),FALSE)</f>
        <v>#N/A</v>
      </c>
      <c r="AA39" s="50" t="e">
        <f>VLOOKUP(Summary!H35,I7:U300,MATCH(J7,I7:L7),FALSE)</f>
        <v>#N/A</v>
      </c>
      <c r="AB39" s="50" t="e">
        <f>VLOOKUP(Summary!H35,I7:U300,MATCH(K7,I7:L7),FALSE)</f>
        <v>#N/A</v>
      </c>
      <c r="AC39" s="54" t="e">
        <f>VLOOKUP(Summary!H35,I7:U300,MATCH(L7,I7:L7),FALSE)</f>
        <v>#N/A</v>
      </c>
      <c r="AD39" s="54" t="e">
        <f>VLOOKUP(Summary!H35,D7:U300,MATCH(M7,D7:U7),FALSE)</f>
        <v>#N/A</v>
      </c>
      <c r="AE39" s="54" t="e">
        <f>VLOOKUP(Summary!H35,I7:U300,MATCH(N7,I7:N7),FALSE)</f>
        <v>#N/A</v>
      </c>
      <c r="AF39" s="54" t="e">
        <f>VLOOKUP(Summary!H35,I7:U300,MATCH(O7,I7:U7),FALSE)</f>
        <v>#N/A</v>
      </c>
      <c r="AG39" s="46"/>
      <c r="AH39" s="46"/>
      <c r="AI39" s="46"/>
      <c r="AJ39" s="54" t="e">
        <f>VLOOKUP(Summary!H35,I7:U300,MATCH(S7,I7:U7),FALSE)</f>
        <v>#N/A</v>
      </c>
      <c r="AK39" s="54" t="e">
        <f>VLOOKUP(Summary!H35,I7:U300,MATCH(T7,I7:U7),FALSE)</f>
        <v>#N/A</v>
      </c>
      <c r="AL39" s="54" t="e">
        <f>VLOOKUP(Summary!H35,I7:U300,MATCH(U7,I7:U7),FALSE)</f>
        <v>#N/A</v>
      </c>
      <c r="AO39" s="65" t="s">
        <v>276</v>
      </c>
      <c r="AP39" s="37">
        <v>1</v>
      </c>
      <c r="AQ39" s="37">
        <v>0</v>
      </c>
      <c r="AR39" s="37">
        <v>0</v>
      </c>
      <c r="AU39" s="70"/>
      <c r="AV39" s="70"/>
      <c r="AW39" s="70"/>
      <c r="AZ39" s="65" t="s">
        <v>276</v>
      </c>
      <c r="BA39" s="37">
        <v>1</v>
      </c>
      <c r="BB39" s="37">
        <v>0</v>
      </c>
      <c r="BC39" s="37">
        <v>0</v>
      </c>
      <c r="BD39" s="37">
        <v>0</v>
      </c>
      <c r="BF39" s="70"/>
      <c r="BG39" s="70"/>
      <c r="BH39" s="70"/>
      <c r="BI39" s="70"/>
    </row>
    <row r="40" spans="1:61" x14ac:dyDescent="0.3">
      <c r="A40" s="372"/>
      <c r="B40" s="372"/>
      <c r="D40" s="65" t="s">
        <v>281</v>
      </c>
      <c r="E40" s="37">
        <v>1</v>
      </c>
      <c r="F40" s="37">
        <v>0</v>
      </c>
      <c r="G40" s="37">
        <v>0</v>
      </c>
      <c r="I40" s="65" t="s">
        <v>281</v>
      </c>
      <c r="J40" s="37">
        <v>0</v>
      </c>
      <c r="K40" s="37">
        <v>0</v>
      </c>
      <c r="L40" s="37">
        <v>0</v>
      </c>
      <c r="M40" s="37">
        <v>0</v>
      </c>
      <c r="N40" s="37">
        <v>0</v>
      </c>
      <c r="O40" s="37">
        <v>0</v>
      </c>
      <c r="S40" s="37">
        <v>1</v>
      </c>
      <c r="T40" s="37">
        <v>0</v>
      </c>
      <c r="U40" s="37">
        <v>0</v>
      </c>
      <c r="X40" s="36"/>
      <c r="Y40" s="36"/>
      <c r="Z40" s="36"/>
      <c r="AA40" s="36"/>
      <c r="AB40" s="36"/>
      <c r="AC40" s="36"/>
      <c r="AD40" s="36"/>
      <c r="AE40" s="36"/>
      <c r="AF40" s="36"/>
      <c r="AG40" s="46"/>
      <c r="AH40" s="46"/>
      <c r="AI40" s="46"/>
      <c r="AJ40" s="36"/>
      <c r="AK40" s="36"/>
      <c r="AL40" s="36"/>
      <c r="AO40" s="65" t="s">
        <v>277</v>
      </c>
      <c r="AP40" s="37">
        <v>1</v>
      </c>
      <c r="AQ40" s="37">
        <v>0</v>
      </c>
      <c r="AR40" s="37">
        <v>0</v>
      </c>
      <c r="AU40" s="70"/>
      <c r="AV40" s="70"/>
      <c r="AW40" s="70"/>
      <c r="AZ40" s="65" t="s">
        <v>277</v>
      </c>
      <c r="BA40" s="37">
        <v>1</v>
      </c>
      <c r="BB40" s="37">
        <v>0</v>
      </c>
      <c r="BC40" s="37">
        <v>0</v>
      </c>
      <c r="BD40" s="37">
        <v>0</v>
      </c>
      <c r="BF40" s="70"/>
      <c r="BG40" s="70"/>
      <c r="BH40" s="70"/>
      <c r="BI40" s="70"/>
    </row>
    <row r="41" spans="1:61" x14ac:dyDescent="0.3">
      <c r="A41" s="372"/>
      <c r="B41" s="372"/>
      <c r="D41" s="65" t="s">
        <v>276</v>
      </c>
      <c r="E41" s="37">
        <v>0</v>
      </c>
      <c r="F41" s="37">
        <v>0</v>
      </c>
      <c r="G41" s="37">
        <v>0</v>
      </c>
      <c r="I41" s="65" t="s">
        <v>276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S41" s="37">
        <v>1</v>
      </c>
      <c r="T41" s="37">
        <v>0</v>
      </c>
      <c r="U41" s="37">
        <v>0</v>
      </c>
      <c r="X41" s="41"/>
      <c r="Y41" s="41"/>
      <c r="Z41" s="41"/>
      <c r="AA41" s="41"/>
      <c r="AB41" s="41"/>
      <c r="AC41" s="41"/>
      <c r="AD41" s="41"/>
      <c r="AE41" s="41"/>
      <c r="AF41" s="41"/>
      <c r="AG41" s="46"/>
      <c r="AH41" s="46"/>
      <c r="AI41" s="46"/>
      <c r="AJ41" s="41"/>
      <c r="AK41" s="41"/>
      <c r="AL41" s="41"/>
      <c r="AO41" s="65" t="s">
        <v>280</v>
      </c>
      <c r="AP41" s="37">
        <v>1</v>
      </c>
      <c r="AQ41" s="37">
        <v>0</v>
      </c>
      <c r="AR41" s="37">
        <v>0</v>
      </c>
      <c r="AU41" s="70"/>
      <c r="AV41" s="70"/>
      <c r="AW41" s="70"/>
      <c r="AZ41" s="65" t="s">
        <v>280</v>
      </c>
      <c r="BA41" s="37">
        <v>1</v>
      </c>
      <c r="BB41" s="37">
        <v>0</v>
      </c>
      <c r="BC41" s="37">
        <v>0</v>
      </c>
      <c r="BD41" s="37">
        <v>0</v>
      </c>
      <c r="BF41" s="70"/>
      <c r="BG41" s="70"/>
      <c r="BH41" s="70"/>
      <c r="BI41" s="70"/>
    </row>
    <row r="42" spans="1:61" x14ac:dyDescent="0.3">
      <c r="A42" s="372"/>
      <c r="B42" s="372"/>
      <c r="D42" s="65" t="s">
        <v>277</v>
      </c>
      <c r="E42" s="37">
        <v>1</v>
      </c>
      <c r="F42" s="37">
        <v>1</v>
      </c>
      <c r="G42" s="37">
        <v>1</v>
      </c>
      <c r="I42" s="65" t="s">
        <v>277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S42" s="37">
        <v>1</v>
      </c>
      <c r="T42" s="37">
        <v>0</v>
      </c>
      <c r="U42" s="37">
        <v>0</v>
      </c>
      <c r="W42" s="37">
        <v>13</v>
      </c>
      <c r="X42" s="50" t="e">
        <f>VLOOKUP(Summary!H36,D7:U300,MATCH(E7,D7:G7),FALSE)</f>
        <v>#N/A</v>
      </c>
      <c r="Y42" s="50" t="e">
        <f>VLOOKUP(Summary!H36,D7:U300,MATCH(F7,D7:G7),FALSE)</f>
        <v>#N/A</v>
      </c>
      <c r="Z42" s="36" t="e">
        <f>VLOOKUP(Summary!H36,D7:G300,MATCH(G7,D7:G7),FALSE)</f>
        <v>#N/A</v>
      </c>
      <c r="AA42" s="50" t="e">
        <f>VLOOKUP(Summary!H36,I7:U300,MATCH(J7,I7:L7),FALSE)</f>
        <v>#N/A</v>
      </c>
      <c r="AB42" s="50" t="e">
        <f>VLOOKUP(Summary!H36,I7:U300,MATCH(K7,I7:L7),FALSE)</f>
        <v>#N/A</v>
      </c>
      <c r="AC42" s="54" t="e">
        <f>VLOOKUP(Summary!H36,I7:U300,MATCH(L7,I7:L7),FALSE)</f>
        <v>#N/A</v>
      </c>
      <c r="AD42" s="54" t="e">
        <f>VLOOKUP(Summary!H36,D7:U300,MATCH(M7,D7:U7),FALSE)</f>
        <v>#N/A</v>
      </c>
      <c r="AE42" s="54" t="e">
        <f>VLOOKUP(Summary!H36,I7:U300,MATCH(N7,I7:N7),FALSE)</f>
        <v>#N/A</v>
      </c>
      <c r="AF42" s="54" t="e">
        <f>VLOOKUP(Summary!H36,I7:U300,MATCH(O7,I7:U7),FALSE)</f>
        <v>#N/A</v>
      </c>
      <c r="AG42" s="46"/>
      <c r="AH42" s="46"/>
      <c r="AI42" s="46"/>
      <c r="AJ42" s="54" t="e">
        <f>VLOOKUP(Summary!H36,I7:U300,MATCH(S7,I7:U7),FALSE)</f>
        <v>#N/A</v>
      </c>
      <c r="AK42" s="54" t="e">
        <f>VLOOKUP(Summary!H36,I7:U300,MATCH(T7,I7:U7),FALSE)</f>
        <v>#N/A</v>
      </c>
      <c r="AL42" s="54" t="e">
        <f>VLOOKUP(Summary!H36,I7:U300,MATCH(U7,I7:U7),FALSE)</f>
        <v>#N/A</v>
      </c>
      <c r="AO42" s="65" t="s">
        <v>275</v>
      </c>
      <c r="AP42" s="37">
        <v>1</v>
      </c>
      <c r="AQ42" s="37">
        <v>0</v>
      </c>
      <c r="AR42" s="37">
        <v>0</v>
      </c>
      <c r="AU42" s="70"/>
      <c r="AV42" s="70"/>
      <c r="AW42" s="70"/>
      <c r="AZ42" s="65" t="s">
        <v>275</v>
      </c>
      <c r="BA42" s="37">
        <v>1</v>
      </c>
      <c r="BB42" s="37">
        <v>0</v>
      </c>
      <c r="BC42" s="37">
        <v>0</v>
      </c>
      <c r="BD42" s="37">
        <v>0</v>
      </c>
      <c r="BF42" s="73"/>
      <c r="BG42" s="73"/>
      <c r="BH42" s="73"/>
      <c r="BI42" s="73"/>
    </row>
    <row r="43" spans="1:61" x14ac:dyDescent="0.3">
      <c r="A43" s="372"/>
      <c r="B43" s="372"/>
      <c r="D43" s="65" t="s">
        <v>280</v>
      </c>
      <c r="E43" s="37">
        <v>1</v>
      </c>
      <c r="F43" s="37">
        <v>0</v>
      </c>
      <c r="G43" s="37">
        <v>0</v>
      </c>
      <c r="I43" s="65" t="s">
        <v>280</v>
      </c>
      <c r="J43" s="37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  <c r="S43" s="37">
        <v>1</v>
      </c>
      <c r="T43" s="37">
        <v>0</v>
      </c>
      <c r="U43" s="37">
        <v>0</v>
      </c>
      <c r="X43" s="36"/>
      <c r="Y43" s="36"/>
      <c r="Z43" s="36"/>
      <c r="AA43" s="36"/>
      <c r="AB43" s="36"/>
      <c r="AC43" s="36"/>
      <c r="AD43" s="36"/>
      <c r="AE43" s="36"/>
      <c r="AF43" s="36"/>
      <c r="AG43" s="46"/>
      <c r="AH43" s="46"/>
      <c r="AI43" s="46"/>
      <c r="AJ43" s="36"/>
      <c r="AK43" s="36"/>
      <c r="AL43" s="36"/>
      <c r="AO43" s="65" t="s">
        <v>279</v>
      </c>
      <c r="AP43" s="37">
        <v>1</v>
      </c>
      <c r="AQ43" s="37">
        <v>0</v>
      </c>
      <c r="AR43" s="37">
        <v>0</v>
      </c>
      <c r="AU43" s="70"/>
      <c r="AV43" s="70"/>
      <c r="AW43" s="70"/>
      <c r="AZ43" s="65" t="s">
        <v>279</v>
      </c>
      <c r="BA43" s="37">
        <v>1</v>
      </c>
      <c r="BB43" s="37">
        <v>0</v>
      </c>
      <c r="BC43" s="37">
        <v>0</v>
      </c>
      <c r="BD43" s="37">
        <v>0</v>
      </c>
      <c r="BF43" s="70"/>
      <c r="BG43" s="70"/>
      <c r="BH43" s="70"/>
      <c r="BI43" s="70"/>
    </row>
    <row r="44" spans="1:61" x14ac:dyDescent="0.3">
      <c r="A44" s="372"/>
      <c r="B44" s="372"/>
      <c r="D44" s="65" t="s">
        <v>275</v>
      </c>
      <c r="E44" s="37">
        <v>1</v>
      </c>
      <c r="F44" s="37">
        <v>1</v>
      </c>
      <c r="G44" s="37">
        <v>0</v>
      </c>
      <c r="I44" s="65" t="s">
        <v>275</v>
      </c>
      <c r="J44" s="37">
        <v>0</v>
      </c>
      <c r="K44" s="37">
        <v>0</v>
      </c>
      <c r="L44" s="37">
        <v>0</v>
      </c>
      <c r="M44" s="37">
        <v>0</v>
      </c>
      <c r="N44" s="37">
        <v>0</v>
      </c>
      <c r="O44" s="37">
        <v>0</v>
      </c>
      <c r="S44" s="37">
        <v>1</v>
      </c>
      <c r="T44" s="37">
        <v>0</v>
      </c>
      <c r="U44" s="37">
        <v>0</v>
      </c>
      <c r="X44" s="41"/>
      <c r="Y44" s="41"/>
      <c r="Z44" s="41"/>
      <c r="AA44" s="41"/>
      <c r="AB44" s="41"/>
      <c r="AC44" s="41"/>
      <c r="AD44" s="41"/>
      <c r="AE44" s="41"/>
      <c r="AF44" s="41"/>
      <c r="AG44" s="46"/>
      <c r="AH44" s="46"/>
      <c r="AI44" s="46"/>
      <c r="AJ44" s="41"/>
      <c r="AK44" s="41"/>
      <c r="AL44" s="41"/>
      <c r="AO44" s="65" t="s">
        <v>272</v>
      </c>
      <c r="AP44" s="37">
        <v>1</v>
      </c>
      <c r="AQ44" s="37">
        <v>0</v>
      </c>
      <c r="AR44" s="37">
        <v>0</v>
      </c>
      <c r="AU44" s="70"/>
      <c r="AV44" s="70"/>
      <c r="AW44" s="70"/>
      <c r="AZ44" s="65" t="s">
        <v>272</v>
      </c>
      <c r="BA44" s="37">
        <v>1</v>
      </c>
      <c r="BB44" s="37">
        <v>0</v>
      </c>
      <c r="BC44" s="37">
        <v>0</v>
      </c>
      <c r="BD44" s="37">
        <v>0</v>
      </c>
      <c r="BF44" s="70"/>
      <c r="BG44" s="70"/>
      <c r="BH44" s="70"/>
      <c r="BI44" s="70"/>
    </row>
    <row r="45" spans="1:61" x14ac:dyDescent="0.3">
      <c r="A45" s="372"/>
      <c r="B45" s="372"/>
      <c r="D45" s="65" t="s">
        <v>279</v>
      </c>
      <c r="E45" s="37">
        <v>1</v>
      </c>
      <c r="F45" s="37">
        <v>1</v>
      </c>
      <c r="G45" s="37">
        <v>1</v>
      </c>
      <c r="I45" s="65" t="s">
        <v>279</v>
      </c>
      <c r="J45" s="37">
        <v>0</v>
      </c>
      <c r="K45" s="37">
        <v>0</v>
      </c>
      <c r="L45" s="37">
        <v>0</v>
      </c>
      <c r="M45" s="37">
        <v>0</v>
      </c>
      <c r="N45" s="37">
        <v>0</v>
      </c>
      <c r="O45" s="37">
        <v>0</v>
      </c>
      <c r="S45" s="37">
        <v>1</v>
      </c>
      <c r="T45" s="37">
        <v>0</v>
      </c>
      <c r="U45" s="37">
        <v>0</v>
      </c>
      <c r="W45" s="37">
        <v>14</v>
      </c>
      <c r="X45" s="50" t="e">
        <f>VLOOKUP(Summary!H37,D7:U300,MATCH(E7,D7:G7),FALSE)</f>
        <v>#N/A</v>
      </c>
      <c r="Y45" s="50" t="e">
        <f>VLOOKUP(Summary!H37,D7:U300,MATCH(F7,D7:G7),FALSE)</f>
        <v>#N/A</v>
      </c>
      <c r="Z45" s="50" t="e">
        <f>VLOOKUP(Summary!H37,D7:G300,MATCH(G7,D7:G7),FALSE)</f>
        <v>#N/A</v>
      </c>
      <c r="AA45" s="50" t="e">
        <f>VLOOKUP(Summary!H37,I7:U300,MATCH(J7,I7:L7),FALSE)</f>
        <v>#N/A</v>
      </c>
      <c r="AB45" s="36" t="e">
        <f>VLOOKUP(Summary!H37,I7:U300,MATCH(K7,I7:L7),FALSE)</f>
        <v>#N/A</v>
      </c>
      <c r="AC45" s="54" t="e">
        <f>VLOOKUP(Summary!H37,I7:U300,MATCH(L7,I7:L7),FALSE)</f>
        <v>#N/A</v>
      </c>
      <c r="AD45" s="54" t="e">
        <f>VLOOKUP(Summary!H37,D7:U300,MATCH(M7,D7:U7),FALSE)</f>
        <v>#N/A</v>
      </c>
      <c r="AE45" s="54" t="e">
        <f>VLOOKUP(Summary!H37,I7:U300,MATCH(N7,I7:N7),FALSE)</f>
        <v>#N/A</v>
      </c>
      <c r="AF45" s="54" t="e">
        <f>VLOOKUP(Summary!H37,I7:U300,MATCH(O7,I7:U7),FALSE)</f>
        <v>#N/A</v>
      </c>
      <c r="AG45" s="46"/>
      <c r="AH45" s="46"/>
      <c r="AI45" s="46"/>
      <c r="AJ45" s="54" t="e">
        <f>VLOOKUP(Summary!H37,I7:U300,MATCH(S7,I7:U7),FALSE)</f>
        <v>#N/A</v>
      </c>
      <c r="AK45" s="54" t="e">
        <f>VLOOKUP(Summary!H37,I7:U300,MATCH(T7,I7:U7),FALSE)</f>
        <v>#N/A</v>
      </c>
      <c r="AL45" s="54" t="e">
        <f>VLOOKUP(Summary!H37,I7:U300,MATCH(U7,I7:U7),FALSE)</f>
        <v>#N/A</v>
      </c>
      <c r="AO45" s="65" t="s">
        <v>290</v>
      </c>
      <c r="AP45" s="37">
        <v>1</v>
      </c>
      <c r="AQ45" s="37">
        <v>0</v>
      </c>
      <c r="AR45" s="37">
        <v>0</v>
      </c>
      <c r="AU45" s="70"/>
      <c r="AV45" s="70"/>
      <c r="AW45" s="70"/>
      <c r="AZ45" s="65" t="s">
        <v>290</v>
      </c>
      <c r="BA45" s="37">
        <v>1</v>
      </c>
      <c r="BB45" s="37">
        <v>0</v>
      </c>
      <c r="BC45" s="37">
        <v>0</v>
      </c>
      <c r="BD45" s="37">
        <v>0</v>
      </c>
      <c r="BF45" s="70"/>
      <c r="BG45" s="70"/>
      <c r="BH45" s="70"/>
      <c r="BI45" s="70"/>
    </row>
    <row r="46" spans="1:61" x14ac:dyDescent="0.3">
      <c r="A46" s="372"/>
      <c r="B46" s="372"/>
      <c r="D46" s="65" t="s">
        <v>272</v>
      </c>
      <c r="E46" s="37">
        <v>1</v>
      </c>
      <c r="F46" s="37">
        <v>1</v>
      </c>
      <c r="G46" s="37">
        <v>1</v>
      </c>
      <c r="I46" s="65" t="s">
        <v>272</v>
      </c>
      <c r="J46" s="37">
        <v>0</v>
      </c>
      <c r="K46" s="37">
        <v>0</v>
      </c>
      <c r="L46" s="37">
        <v>0</v>
      </c>
      <c r="M46" s="37">
        <v>0</v>
      </c>
      <c r="N46" s="37">
        <v>0</v>
      </c>
      <c r="O46" s="37">
        <v>0</v>
      </c>
      <c r="S46" s="37">
        <v>1</v>
      </c>
      <c r="T46" s="37">
        <v>0</v>
      </c>
      <c r="U46" s="37">
        <v>0</v>
      </c>
      <c r="X46" s="36"/>
      <c r="Y46" s="36"/>
      <c r="Z46" s="36"/>
      <c r="AA46" s="36"/>
      <c r="AB46" s="36"/>
      <c r="AC46" s="36"/>
      <c r="AD46" s="36"/>
      <c r="AE46" s="36"/>
      <c r="AF46" s="36"/>
      <c r="AG46" s="46"/>
      <c r="AH46" s="46"/>
      <c r="AI46" s="46"/>
      <c r="AJ46" s="36"/>
      <c r="AK46" s="36"/>
      <c r="AL46" s="36"/>
      <c r="AO46" s="65" t="s">
        <v>289</v>
      </c>
      <c r="AP46" s="37">
        <v>1</v>
      </c>
      <c r="AQ46" s="37">
        <v>0</v>
      </c>
      <c r="AR46" s="37">
        <v>0</v>
      </c>
      <c r="AU46" s="70"/>
      <c r="AV46" s="70"/>
      <c r="AW46" s="70"/>
      <c r="AZ46" s="65" t="s">
        <v>289</v>
      </c>
      <c r="BA46" s="37">
        <v>1</v>
      </c>
      <c r="BB46" s="37">
        <v>0</v>
      </c>
      <c r="BC46" s="37">
        <v>0</v>
      </c>
      <c r="BD46" s="37">
        <v>0</v>
      </c>
      <c r="BF46" s="70"/>
      <c r="BG46" s="70"/>
      <c r="BH46" s="70"/>
      <c r="BI46" s="70"/>
    </row>
    <row r="47" spans="1:61" x14ac:dyDescent="0.3">
      <c r="A47" s="371" t="s">
        <v>435</v>
      </c>
      <c r="B47" s="323"/>
      <c r="D47" s="65" t="s">
        <v>290</v>
      </c>
      <c r="E47" s="37">
        <v>1</v>
      </c>
      <c r="F47" s="37">
        <v>1</v>
      </c>
      <c r="G47" s="37">
        <v>1</v>
      </c>
      <c r="I47" s="65" t="s">
        <v>290</v>
      </c>
      <c r="J47" s="37">
        <v>0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S47" s="37">
        <v>1</v>
      </c>
      <c r="T47" s="37">
        <v>0</v>
      </c>
      <c r="U47" s="37">
        <v>0</v>
      </c>
      <c r="X47" s="41"/>
      <c r="Y47" s="41"/>
      <c r="Z47" s="41"/>
      <c r="AA47" s="41"/>
      <c r="AB47" s="41"/>
      <c r="AC47" s="41"/>
      <c r="AD47" s="41"/>
      <c r="AE47" s="41"/>
      <c r="AF47" s="41"/>
      <c r="AG47" s="46"/>
      <c r="AH47" s="46"/>
      <c r="AI47" s="46"/>
      <c r="AJ47" s="41"/>
      <c r="AK47" s="41"/>
      <c r="AL47" s="41"/>
      <c r="AO47" s="65" t="s">
        <v>292</v>
      </c>
      <c r="AP47" s="37">
        <v>1</v>
      </c>
      <c r="AQ47" s="37">
        <v>0</v>
      </c>
      <c r="AR47" s="37">
        <v>0</v>
      </c>
      <c r="AU47" s="70"/>
      <c r="AV47" s="70"/>
      <c r="AW47" s="70"/>
      <c r="AZ47" s="65" t="s">
        <v>292</v>
      </c>
      <c r="BA47" s="37">
        <v>1</v>
      </c>
      <c r="BB47" s="37">
        <v>0</v>
      </c>
      <c r="BC47" s="37">
        <v>0</v>
      </c>
      <c r="BD47" s="37">
        <v>0</v>
      </c>
      <c r="BF47" s="70"/>
      <c r="BG47" s="70"/>
      <c r="BH47" s="70"/>
      <c r="BI47" s="70"/>
    </row>
    <row r="48" spans="1:61" x14ac:dyDescent="0.3">
      <c r="A48" s="323"/>
      <c r="B48" s="323"/>
      <c r="D48" s="65" t="s">
        <v>289</v>
      </c>
      <c r="E48" s="37">
        <v>1</v>
      </c>
      <c r="F48" s="37">
        <v>1</v>
      </c>
      <c r="G48" s="37">
        <v>1</v>
      </c>
      <c r="I48" s="65" t="s">
        <v>289</v>
      </c>
      <c r="J48" s="37">
        <v>0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S48" s="37">
        <v>1</v>
      </c>
      <c r="T48" s="37">
        <v>0</v>
      </c>
      <c r="U48" s="37">
        <v>0</v>
      </c>
      <c r="W48" s="37">
        <v>15</v>
      </c>
      <c r="X48" s="50" t="e">
        <f>VLOOKUP(Summary!H38,D7:U300,MATCH(E7,D7:G7),FALSE)</f>
        <v>#N/A</v>
      </c>
      <c r="Y48" s="50" t="e">
        <f>VLOOKUP(Summary!H38,D7:U300,MATCH(F7,D7:G7),FALSE)</f>
        <v>#N/A</v>
      </c>
      <c r="Z48" s="50" t="e">
        <f>VLOOKUP(Summary!H38,D7:G300,MATCH(G7,D7:G7),FALSE)</f>
        <v>#N/A</v>
      </c>
      <c r="AA48" s="50" t="e">
        <f>VLOOKUP(Summary!H38,I7:U300,MATCH(J7,I7:L7),FALSE)</f>
        <v>#N/A</v>
      </c>
      <c r="AB48" s="50" t="e">
        <f>VLOOKUP(Summary!H38,I7:U300,MATCH(K7,I7:L7),FALSE)</f>
        <v>#N/A</v>
      </c>
      <c r="AC48" s="54" t="e">
        <f>VLOOKUP(Summary!H38,I7:U300,MATCH(L7,I7:L7),FALSE)</f>
        <v>#N/A</v>
      </c>
      <c r="AD48" s="54" t="e">
        <f>VLOOKUP(Summary!H38,D7:U300,MATCH(M7,D7:U7),FALSE)</f>
        <v>#N/A</v>
      </c>
      <c r="AE48" s="54" t="e">
        <f>VLOOKUP(Summary!H38,I7:U300,MATCH(N7,I7:N7),FALSE)</f>
        <v>#N/A</v>
      </c>
      <c r="AF48" s="54" t="e">
        <f>VLOOKUP(Summary!H38,I7:U300,MATCH(O7,I7:U7),FALSE)</f>
        <v>#N/A</v>
      </c>
      <c r="AG48" s="46"/>
      <c r="AH48" s="46"/>
      <c r="AI48" s="46"/>
      <c r="AJ48" s="54" t="e">
        <f>VLOOKUP(Summary!H38,I7:U300,MATCH(S7,I7:U7),FALSE)</f>
        <v>#N/A</v>
      </c>
      <c r="AK48" s="54" t="e">
        <f>VLOOKUP(Summary!H38,I7:U300,MATCH(T7,I7:U7),FALSE)</f>
        <v>#N/A</v>
      </c>
      <c r="AL48" s="54" t="e">
        <f>VLOOKUP(Summary!H38,I7:U300,MATCH(U7,I7:U7),FALSE)</f>
        <v>#N/A</v>
      </c>
      <c r="AO48" s="65" t="s">
        <v>293</v>
      </c>
      <c r="AP48" s="37">
        <v>1</v>
      </c>
      <c r="AQ48" s="37">
        <v>0</v>
      </c>
      <c r="AR48" s="37">
        <v>0</v>
      </c>
      <c r="AU48" s="70"/>
      <c r="AV48" s="70"/>
      <c r="AW48" s="70"/>
      <c r="AZ48" s="65" t="s">
        <v>293</v>
      </c>
      <c r="BA48" s="37">
        <v>1</v>
      </c>
      <c r="BB48" s="37">
        <v>0</v>
      </c>
      <c r="BC48" s="37">
        <v>0</v>
      </c>
      <c r="BD48" s="37">
        <v>0</v>
      </c>
      <c r="BF48" s="70"/>
      <c r="BG48" s="70"/>
      <c r="BH48" s="70"/>
      <c r="BI48" s="70"/>
    </row>
    <row r="49" spans="1:61" x14ac:dyDescent="0.3">
      <c r="A49" s="323"/>
      <c r="B49" s="323"/>
      <c r="D49" s="65" t="s">
        <v>292</v>
      </c>
      <c r="E49" s="37">
        <v>1</v>
      </c>
      <c r="F49" s="37">
        <v>0</v>
      </c>
      <c r="G49" s="37">
        <v>0</v>
      </c>
      <c r="I49" s="65" t="s">
        <v>292</v>
      </c>
      <c r="J49" s="37">
        <v>0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S49" s="37">
        <v>1</v>
      </c>
      <c r="T49" s="37">
        <v>0</v>
      </c>
      <c r="U49" s="37">
        <v>0</v>
      </c>
      <c r="X49" s="36"/>
      <c r="Y49" s="36"/>
      <c r="Z49" s="36"/>
      <c r="AA49" s="36"/>
      <c r="AB49" s="36"/>
      <c r="AC49" s="36"/>
      <c r="AD49" s="36"/>
      <c r="AE49" s="36"/>
      <c r="AF49" s="36"/>
      <c r="AG49" s="46"/>
      <c r="AH49" s="46"/>
      <c r="AI49" s="46"/>
      <c r="AJ49" s="36"/>
      <c r="AK49" s="36"/>
      <c r="AL49" s="36"/>
      <c r="AO49" s="65" t="s">
        <v>291</v>
      </c>
      <c r="AP49" s="37">
        <v>1</v>
      </c>
      <c r="AQ49" s="37">
        <v>0</v>
      </c>
      <c r="AR49" s="37">
        <v>0</v>
      </c>
      <c r="AU49" s="70"/>
      <c r="AV49" s="70"/>
      <c r="AW49" s="70"/>
      <c r="AZ49" s="65" t="s">
        <v>291</v>
      </c>
      <c r="BA49" s="37">
        <v>1</v>
      </c>
      <c r="BB49" s="37">
        <v>0</v>
      </c>
      <c r="BC49" s="37">
        <v>0</v>
      </c>
      <c r="BD49" s="37">
        <v>0</v>
      </c>
      <c r="BF49" s="70"/>
      <c r="BG49" s="70"/>
      <c r="BH49" s="70"/>
      <c r="BI49" s="70"/>
    </row>
    <row r="50" spans="1:61" x14ac:dyDescent="0.3">
      <c r="A50" s="323"/>
      <c r="B50" s="323"/>
      <c r="D50" s="65" t="s">
        <v>293</v>
      </c>
      <c r="E50" s="37">
        <v>1</v>
      </c>
      <c r="F50" s="37">
        <v>0</v>
      </c>
      <c r="G50" s="37">
        <v>0</v>
      </c>
      <c r="I50" s="65" t="s">
        <v>293</v>
      </c>
      <c r="J50" s="37">
        <v>0</v>
      </c>
      <c r="K50" s="37">
        <v>0</v>
      </c>
      <c r="L50" s="37">
        <v>0</v>
      </c>
      <c r="M50" s="37">
        <v>0</v>
      </c>
      <c r="N50" s="37">
        <v>0</v>
      </c>
      <c r="O50" s="37">
        <v>0</v>
      </c>
      <c r="S50" s="37">
        <v>1</v>
      </c>
      <c r="T50" s="37">
        <v>0</v>
      </c>
      <c r="U50" s="37">
        <v>0</v>
      </c>
      <c r="X50" s="41"/>
      <c r="Y50" s="41"/>
      <c r="Z50" s="41"/>
      <c r="AA50" s="41"/>
      <c r="AB50" s="41"/>
      <c r="AC50" s="41"/>
      <c r="AD50" s="41"/>
      <c r="AE50" s="41"/>
      <c r="AF50" s="41"/>
      <c r="AG50" s="46"/>
      <c r="AH50" s="46"/>
      <c r="AI50" s="46"/>
      <c r="AJ50" s="41"/>
      <c r="AK50" s="41"/>
      <c r="AL50" s="41"/>
      <c r="AO50" s="65" t="s">
        <v>288</v>
      </c>
      <c r="AP50" s="37">
        <v>1</v>
      </c>
      <c r="AQ50" s="37">
        <v>0</v>
      </c>
      <c r="AR50" s="37">
        <v>0</v>
      </c>
      <c r="AU50" s="70"/>
      <c r="AV50" s="70"/>
      <c r="AW50" s="70"/>
      <c r="AZ50" s="65" t="s">
        <v>288</v>
      </c>
      <c r="BA50" s="37">
        <v>1</v>
      </c>
      <c r="BB50" s="37">
        <v>0</v>
      </c>
      <c r="BC50" s="37">
        <v>0</v>
      </c>
      <c r="BD50" s="37">
        <v>0</v>
      </c>
      <c r="BF50" s="70"/>
      <c r="BG50" s="70"/>
      <c r="BH50" s="70"/>
      <c r="BI50" s="70"/>
    </row>
    <row r="51" spans="1:61" x14ac:dyDescent="0.3">
      <c r="A51" s="323"/>
      <c r="B51" s="323"/>
      <c r="D51" s="65" t="s">
        <v>291</v>
      </c>
      <c r="E51" s="37">
        <v>1</v>
      </c>
      <c r="F51" s="37">
        <v>0</v>
      </c>
      <c r="G51" s="37">
        <v>0</v>
      </c>
      <c r="I51" s="65" t="s">
        <v>291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S51" s="37">
        <v>1</v>
      </c>
      <c r="T51" s="37">
        <v>0</v>
      </c>
      <c r="U51" s="37">
        <v>0</v>
      </c>
      <c r="W51" s="37">
        <v>16</v>
      </c>
      <c r="X51" s="50" t="e">
        <f>VLOOKUP(Summary!H39,D7:U300,MATCH(E7,D7:G7),FALSE)</f>
        <v>#N/A</v>
      </c>
      <c r="Y51" s="50" t="e">
        <f>VLOOKUP(Summary!H39,D7:U300,MATCH(F7,D7:G7),FALSE)</f>
        <v>#N/A</v>
      </c>
      <c r="Z51" s="50" t="e">
        <f>VLOOKUP(Summary!H39,D7:G300,MATCH(G7,D7:G7),FALSE)</f>
        <v>#N/A</v>
      </c>
      <c r="AA51" s="50" t="e">
        <f>VLOOKUP(Summary!H39,I7:U300,MATCH(J7,I7:L7),FALSE)</f>
        <v>#N/A</v>
      </c>
      <c r="AB51" s="50" t="e">
        <f>VLOOKUP(Summary!H39,I7:U300,MATCH(K7,I7:L7),FALSE)</f>
        <v>#N/A</v>
      </c>
      <c r="AC51" s="54" t="e">
        <f>VLOOKUP(Summary!H39,I7:U300,MATCH(L7,I7:L7),FALSE)</f>
        <v>#N/A</v>
      </c>
      <c r="AD51" s="54" t="e">
        <f>VLOOKUP(Summary!H39,D7:U300,MATCH(M7,D7:U7),FALSE)</f>
        <v>#N/A</v>
      </c>
      <c r="AE51" s="54" t="e">
        <f>VLOOKUP(Summary!H39,I7:U300,MATCH(N7,I7:N7),FALSE)</f>
        <v>#N/A</v>
      </c>
      <c r="AF51" s="54" t="e">
        <f>VLOOKUP(Summary!H39,I7:U300,MATCH(O7,I7:U7),FALSE)</f>
        <v>#N/A</v>
      </c>
      <c r="AG51" s="46"/>
      <c r="AH51" s="46"/>
      <c r="AI51" s="46"/>
      <c r="AJ51" s="54" t="e">
        <f>VLOOKUP(Summary!H39,I7:U300,MATCH(S7,I7:U7),FALSE)</f>
        <v>#N/A</v>
      </c>
      <c r="AK51" s="54" t="e">
        <f>VLOOKUP(Summary!H39,I7:U300,MATCH(T7,I7:U7),FALSE)</f>
        <v>#N/A</v>
      </c>
      <c r="AL51" s="54" t="e">
        <f>VLOOKUP(Summary!H39,I7:U300,MATCH(U7,I7:U7),FALSE)</f>
        <v>#N/A</v>
      </c>
      <c r="AO51" s="65" t="s">
        <v>416</v>
      </c>
      <c r="AP51" s="37">
        <v>1</v>
      </c>
      <c r="AQ51" s="37">
        <v>0</v>
      </c>
      <c r="AR51" s="85">
        <v>0</v>
      </c>
      <c r="AU51" s="70"/>
      <c r="AV51" s="70"/>
      <c r="AW51" s="70"/>
      <c r="AZ51" s="65" t="s">
        <v>416</v>
      </c>
      <c r="BA51" s="37">
        <v>1</v>
      </c>
      <c r="BB51" s="37">
        <v>0</v>
      </c>
      <c r="BC51" s="85">
        <v>0</v>
      </c>
      <c r="BD51" s="85">
        <v>0</v>
      </c>
      <c r="BF51" s="70"/>
      <c r="BG51" s="70"/>
      <c r="BH51" s="70"/>
      <c r="BI51" s="70"/>
    </row>
    <row r="52" spans="1:61" x14ac:dyDescent="0.3">
      <c r="A52" s="323"/>
      <c r="B52" s="323"/>
      <c r="D52" s="65" t="s">
        <v>288</v>
      </c>
      <c r="E52" s="37">
        <v>1</v>
      </c>
      <c r="F52" s="37">
        <v>1</v>
      </c>
      <c r="G52" s="37">
        <v>1</v>
      </c>
      <c r="I52" s="65" t="s">
        <v>288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S52" s="37">
        <v>1</v>
      </c>
      <c r="T52" s="37">
        <v>0</v>
      </c>
      <c r="U52" s="37">
        <v>0</v>
      </c>
      <c r="X52" s="36"/>
      <c r="Y52" s="36"/>
      <c r="Z52" s="36"/>
      <c r="AA52" s="36"/>
      <c r="AB52" s="36"/>
      <c r="AC52" s="36"/>
      <c r="AD52" s="36"/>
      <c r="AE52" s="36"/>
      <c r="AF52" s="36"/>
      <c r="AG52" s="46"/>
      <c r="AH52" s="46"/>
      <c r="AI52" s="46"/>
      <c r="AJ52" s="36"/>
      <c r="AK52" s="36"/>
      <c r="AL52" s="36"/>
      <c r="AO52" s="65" t="s">
        <v>415</v>
      </c>
      <c r="AP52" s="37">
        <v>1</v>
      </c>
      <c r="AQ52" s="37">
        <v>0</v>
      </c>
      <c r="AR52" s="85">
        <v>0</v>
      </c>
      <c r="AU52" s="76"/>
      <c r="AV52" s="76"/>
      <c r="AW52" s="76"/>
      <c r="AZ52" s="65" t="s">
        <v>415</v>
      </c>
      <c r="BA52" s="37">
        <v>1</v>
      </c>
      <c r="BB52" s="37">
        <v>0</v>
      </c>
      <c r="BC52" s="85">
        <v>0</v>
      </c>
      <c r="BD52" s="85">
        <v>0</v>
      </c>
      <c r="BF52" s="70"/>
      <c r="BG52" s="70"/>
      <c r="BH52" s="70"/>
      <c r="BI52" s="70"/>
    </row>
    <row r="53" spans="1:61" x14ac:dyDescent="0.3">
      <c r="A53" s="372" t="s">
        <v>436</v>
      </c>
      <c r="B53" s="374"/>
      <c r="D53" s="65" t="s">
        <v>416</v>
      </c>
      <c r="E53" s="37">
        <v>1</v>
      </c>
      <c r="F53" s="37">
        <v>1</v>
      </c>
      <c r="G53" s="37">
        <v>1</v>
      </c>
      <c r="I53" s="65" t="s">
        <v>416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1</v>
      </c>
      <c r="S53" s="37">
        <v>1</v>
      </c>
      <c r="T53" s="37">
        <v>0</v>
      </c>
      <c r="U53" s="37">
        <v>0</v>
      </c>
      <c r="X53" s="41"/>
      <c r="Y53" s="41"/>
      <c r="Z53" s="41"/>
      <c r="AA53" s="41"/>
      <c r="AB53" s="41"/>
      <c r="AC53" s="41"/>
      <c r="AD53" s="41"/>
      <c r="AE53" s="41"/>
      <c r="AF53" s="41"/>
      <c r="AG53" s="46"/>
      <c r="AH53" s="46"/>
      <c r="AI53" s="46"/>
      <c r="AJ53" s="41"/>
      <c r="AK53" s="41"/>
      <c r="AL53" s="41"/>
      <c r="AO53" s="65" t="s">
        <v>414</v>
      </c>
      <c r="AP53" s="37">
        <v>1</v>
      </c>
      <c r="AQ53" s="37">
        <v>0</v>
      </c>
      <c r="AR53" s="85">
        <v>0</v>
      </c>
      <c r="AZ53" s="65" t="s">
        <v>414</v>
      </c>
      <c r="BA53" s="37">
        <v>1</v>
      </c>
      <c r="BB53" s="37">
        <v>0</v>
      </c>
      <c r="BC53" s="85">
        <v>0</v>
      </c>
      <c r="BD53" s="85">
        <v>0</v>
      </c>
    </row>
    <row r="54" spans="1:61" x14ac:dyDescent="0.3">
      <c r="A54" s="374"/>
      <c r="B54" s="374"/>
      <c r="D54" s="65" t="s">
        <v>415</v>
      </c>
      <c r="E54" s="37">
        <v>1</v>
      </c>
      <c r="F54" s="37">
        <v>1</v>
      </c>
      <c r="G54" s="37">
        <v>1</v>
      </c>
      <c r="I54" s="65" t="s">
        <v>415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1</v>
      </c>
      <c r="S54" s="37">
        <v>1</v>
      </c>
      <c r="T54" s="37">
        <v>0</v>
      </c>
      <c r="U54" s="37">
        <v>0</v>
      </c>
      <c r="W54" s="37">
        <v>17</v>
      </c>
      <c r="X54" s="50" t="e">
        <f>VLOOKUP(Summary!H40,D7:U300,MATCH(E7,D7:G7),FALSE)</f>
        <v>#N/A</v>
      </c>
      <c r="Y54" s="50" t="e">
        <f>VLOOKUP(Summary!H40,D7:U300,MATCH(F7,D7:G7),FALSE)</f>
        <v>#N/A</v>
      </c>
      <c r="Z54" s="50" t="e">
        <f>VLOOKUP(Summary!H40,D7:G300,MATCH(G7,D7:G7),FALSE)</f>
        <v>#N/A</v>
      </c>
      <c r="AA54" s="50" t="e">
        <f>VLOOKUP(Summary!H40,I7:U300,MATCH(J7,I7:L7),FALSE)</f>
        <v>#N/A</v>
      </c>
      <c r="AB54" s="50" t="e">
        <f>VLOOKUP(Summary!H40,I7:U300,MATCH(K7,I7:L7),FALSE)</f>
        <v>#N/A</v>
      </c>
      <c r="AC54" s="54" t="e">
        <f>VLOOKUP(Summary!H40,I7:U300,MATCH(L7,I7:L7),FALSE)</f>
        <v>#N/A</v>
      </c>
      <c r="AD54" s="54" t="e">
        <f>VLOOKUP(Summary!H40,D7:U300,MATCH(M7,D7:U7),FALSE)</f>
        <v>#N/A</v>
      </c>
      <c r="AE54" s="54" t="e">
        <f>VLOOKUP(Summary!H40,I7:U300,MATCH(N7,I7:N7),FALSE)</f>
        <v>#N/A</v>
      </c>
      <c r="AF54" s="54" t="e">
        <f>VLOOKUP(Summary!H40,I7:U300,MATCH(O7,I7:U7),FALSE)</f>
        <v>#N/A</v>
      </c>
      <c r="AG54" s="46"/>
      <c r="AH54" s="46"/>
      <c r="AI54" s="46"/>
      <c r="AJ54" s="54" t="e">
        <f>VLOOKUP(Summary!H40,I7:U300,MATCH(S7,I7:U7),FALSE)</f>
        <v>#N/A</v>
      </c>
      <c r="AK54" s="54" t="e">
        <f>VLOOKUP(Summary!H40,I7:U300,MATCH(T7,I7:U7),FALSE)</f>
        <v>#N/A</v>
      </c>
      <c r="AL54" s="54" t="e">
        <f>VLOOKUP(Summary!H40,I7:U300,MATCH(U7,I7:U7),FALSE)</f>
        <v>#N/A</v>
      </c>
      <c r="AO54" s="65" t="s">
        <v>418</v>
      </c>
      <c r="AP54" s="37">
        <v>1</v>
      </c>
      <c r="AQ54" s="37">
        <v>0</v>
      </c>
      <c r="AR54" s="85">
        <v>0</v>
      </c>
      <c r="AV54" s="76" t="s">
        <v>425</v>
      </c>
      <c r="AZ54" s="65" t="s">
        <v>418</v>
      </c>
      <c r="BA54" s="37">
        <v>1</v>
      </c>
      <c r="BB54" s="37">
        <v>0</v>
      </c>
      <c r="BC54" s="85">
        <v>0</v>
      </c>
      <c r="BD54" s="85">
        <v>0</v>
      </c>
      <c r="BG54" s="374" t="s">
        <v>425</v>
      </c>
      <c r="BH54" s="344"/>
    </row>
    <row r="55" spans="1:61" x14ac:dyDescent="0.3">
      <c r="A55" s="374"/>
      <c r="B55" s="374"/>
      <c r="D55" s="65" t="s">
        <v>414</v>
      </c>
      <c r="E55" s="37">
        <v>1</v>
      </c>
      <c r="F55" s="37">
        <v>1</v>
      </c>
      <c r="G55" s="37">
        <v>1</v>
      </c>
      <c r="I55" s="65" t="s">
        <v>414</v>
      </c>
      <c r="J55" s="37">
        <v>0</v>
      </c>
      <c r="K55" s="37">
        <v>0</v>
      </c>
      <c r="L55" s="37">
        <v>0</v>
      </c>
      <c r="M55" s="37">
        <v>0</v>
      </c>
      <c r="N55" s="37">
        <v>0</v>
      </c>
      <c r="O55" s="37">
        <v>0</v>
      </c>
      <c r="S55" s="37">
        <v>1</v>
      </c>
      <c r="T55" s="37">
        <v>0</v>
      </c>
      <c r="U55" s="37">
        <v>0</v>
      </c>
      <c r="X55" s="36"/>
      <c r="Y55" s="36"/>
      <c r="Z55" s="36"/>
      <c r="AA55" s="36"/>
      <c r="AB55" s="36"/>
      <c r="AC55" s="36"/>
      <c r="AD55" s="36"/>
      <c r="AE55" s="36"/>
      <c r="AF55" s="36"/>
      <c r="AG55" s="46"/>
      <c r="AH55" s="46"/>
      <c r="AI55" s="46"/>
      <c r="AJ55" s="36"/>
      <c r="AK55" s="36"/>
      <c r="AL55" s="36"/>
      <c r="AO55" s="65" t="s">
        <v>417</v>
      </c>
      <c r="AP55" s="37">
        <v>1</v>
      </c>
      <c r="AQ55" s="37">
        <v>0</v>
      </c>
      <c r="AR55" s="85">
        <v>0</v>
      </c>
      <c r="AU55" s="72" t="s">
        <v>17</v>
      </c>
      <c r="AV55" s="72" t="s">
        <v>18</v>
      </c>
      <c r="AW55" s="72" t="s">
        <v>19</v>
      </c>
      <c r="AZ55" s="65" t="s">
        <v>417</v>
      </c>
      <c r="BA55" s="37">
        <v>1</v>
      </c>
      <c r="BB55" s="37">
        <v>0</v>
      </c>
      <c r="BC55" s="85">
        <v>0</v>
      </c>
      <c r="BD55" s="85">
        <v>0</v>
      </c>
      <c r="BF55" s="72" t="s">
        <v>336</v>
      </c>
      <c r="BG55" s="72" t="s">
        <v>337</v>
      </c>
      <c r="BH55" s="72" t="s">
        <v>338</v>
      </c>
      <c r="BI55" s="72" t="s">
        <v>339</v>
      </c>
    </row>
    <row r="56" spans="1:61" x14ac:dyDescent="0.3">
      <c r="A56" s="374"/>
      <c r="B56" s="374"/>
      <c r="D56" s="65" t="s">
        <v>418</v>
      </c>
      <c r="E56" s="37">
        <v>1</v>
      </c>
      <c r="F56" s="37">
        <v>1</v>
      </c>
      <c r="G56" s="37">
        <v>0</v>
      </c>
      <c r="I56" s="65" t="s">
        <v>418</v>
      </c>
      <c r="J56" s="37">
        <v>0</v>
      </c>
      <c r="K56" s="37">
        <v>0</v>
      </c>
      <c r="L56" s="37">
        <v>0</v>
      </c>
      <c r="M56" s="37">
        <v>0</v>
      </c>
      <c r="N56" s="37">
        <v>0</v>
      </c>
      <c r="O56" s="37">
        <v>0</v>
      </c>
      <c r="S56" s="37">
        <v>1</v>
      </c>
      <c r="T56" s="37">
        <v>0</v>
      </c>
      <c r="U56" s="37">
        <v>0</v>
      </c>
      <c r="AG56" s="46"/>
      <c r="AH56" s="46"/>
      <c r="AI56" s="46"/>
      <c r="AO56" s="65" t="s">
        <v>427</v>
      </c>
      <c r="AP56" s="37">
        <v>1</v>
      </c>
      <c r="AQ56" s="37">
        <v>0</v>
      </c>
      <c r="AR56" s="85">
        <v>0</v>
      </c>
      <c r="AU56" s="70"/>
      <c r="AV56" s="70"/>
      <c r="AW56" s="70"/>
      <c r="AZ56" s="65" t="s">
        <v>427</v>
      </c>
      <c r="BA56" s="37">
        <v>1</v>
      </c>
      <c r="BB56" s="37">
        <v>0</v>
      </c>
      <c r="BC56" s="85">
        <v>0</v>
      </c>
      <c r="BD56" s="85">
        <v>0</v>
      </c>
      <c r="BF56" s="70"/>
      <c r="BG56" s="70"/>
      <c r="BH56" s="70"/>
      <c r="BI56" s="70"/>
    </row>
    <row r="57" spans="1:61" x14ac:dyDescent="0.3">
      <c r="A57" s="374"/>
      <c r="B57" s="374"/>
      <c r="D57" s="65" t="s">
        <v>417</v>
      </c>
      <c r="E57" s="37">
        <v>1</v>
      </c>
      <c r="F57" s="37">
        <v>1</v>
      </c>
      <c r="G57" s="37">
        <v>0</v>
      </c>
      <c r="I57" s="65" t="s">
        <v>417</v>
      </c>
      <c r="J57" s="37">
        <v>0</v>
      </c>
      <c r="K57" s="37">
        <v>0</v>
      </c>
      <c r="L57" s="37">
        <v>0</v>
      </c>
      <c r="M57" s="37">
        <v>0</v>
      </c>
      <c r="N57" s="37">
        <v>0</v>
      </c>
      <c r="O57" s="37">
        <v>1</v>
      </c>
      <c r="S57" s="37">
        <v>1</v>
      </c>
      <c r="T57" s="37">
        <v>0</v>
      </c>
      <c r="U57" s="37">
        <v>0</v>
      </c>
      <c r="W57" s="37">
        <v>18</v>
      </c>
      <c r="X57" s="50" t="e">
        <f>VLOOKUP(Summary!H41,D7:U300,MATCH(E7,D7:G7),FALSE)</f>
        <v>#N/A</v>
      </c>
      <c r="Y57" s="50" t="e">
        <f>VLOOKUP(Summary!H41,D7:U300,MATCH(F7,D7:G7),FALSE)</f>
        <v>#N/A</v>
      </c>
      <c r="Z57" s="50" t="e">
        <f>VLOOKUP(Summary!H41,D7:G300,MATCH(G7,D7:G7),FALSE)</f>
        <v>#N/A</v>
      </c>
      <c r="AA57" s="50" t="e">
        <f>VLOOKUP(Summary!H41,I7:U300,MATCH(J7,I7:L7),FALSE)</f>
        <v>#N/A</v>
      </c>
      <c r="AB57" s="50" t="e">
        <f>VLOOKUP(Summary!H41,I7:U300,MATCH(K7,I7:L7),FALSE)</f>
        <v>#N/A</v>
      </c>
      <c r="AC57" s="54" t="e">
        <f>VLOOKUP(Summary!H41,I7:U300,MATCH(L7,I7:L7),FALSE)</f>
        <v>#N/A</v>
      </c>
      <c r="AD57" s="54" t="e">
        <f>VLOOKUP(Summary!H41,D7:U300,MATCH(M7,D7:U7),FALSE)</f>
        <v>#N/A</v>
      </c>
      <c r="AE57" s="54" t="e">
        <f>VLOOKUP(Summary!H41,I7:U300,MATCH(N7,I7:N7),FALSE)</f>
        <v>#N/A</v>
      </c>
      <c r="AF57" s="54" t="e">
        <f>VLOOKUP(Summary!H41,I7:U300,MATCH(O7,I7:U7),FALSE)</f>
        <v>#N/A</v>
      </c>
      <c r="AG57" s="46"/>
      <c r="AH57" s="46"/>
      <c r="AI57" s="46"/>
      <c r="AJ57" s="54" t="e">
        <f>VLOOKUP(Summary!H41,I7:U300,MATCH(S7,I7:U7),FALSE)</f>
        <v>#N/A</v>
      </c>
      <c r="AK57" s="54" t="e">
        <f>VLOOKUP(Summary!H41,I7:U300,MATCH(T7,I7:U7),FALSE)</f>
        <v>#N/A</v>
      </c>
      <c r="AL57" s="54" t="e">
        <f>VLOOKUP(Summary!H41,I7:U300,MATCH(U7,I7:U7),FALSE)</f>
        <v>#N/A</v>
      </c>
      <c r="AO57" s="65" t="s">
        <v>413</v>
      </c>
      <c r="AP57" s="37">
        <v>1</v>
      </c>
      <c r="AQ57" s="37">
        <v>0</v>
      </c>
      <c r="AR57" s="85">
        <v>0</v>
      </c>
      <c r="AU57" s="73"/>
      <c r="AV57" s="73"/>
      <c r="AW57" s="73"/>
      <c r="AZ57" s="65" t="s">
        <v>413</v>
      </c>
      <c r="BA57" s="37">
        <v>1</v>
      </c>
      <c r="BB57" s="37">
        <v>0</v>
      </c>
      <c r="BC57" s="85">
        <v>0</v>
      </c>
      <c r="BD57" s="85">
        <v>0</v>
      </c>
      <c r="BF57" s="73"/>
      <c r="BG57" s="73"/>
      <c r="BH57" s="73"/>
      <c r="BI57" s="73"/>
    </row>
    <row r="58" spans="1:61" x14ac:dyDescent="0.3">
      <c r="A58" s="374"/>
      <c r="B58" s="374"/>
      <c r="D58" s="65" t="s">
        <v>427</v>
      </c>
      <c r="E58" s="37">
        <v>1</v>
      </c>
      <c r="F58" s="37">
        <v>0</v>
      </c>
      <c r="G58" s="37">
        <v>0</v>
      </c>
      <c r="I58" s="65" t="s">
        <v>427</v>
      </c>
      <c r="J58" s="37">
        <v>0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  <c r="S58" s="37">
        <v>1</v>
      </c>
      <c r="T58" s="37">
        <v>0</v>
      </c>
      <c r="U58" s="37">
        <v>0</v>
      </c>
      <c r="X58" s="36"/>
      <c r="Y58" s="36"/>
      <c r="Z58" s="36"/>
      <c r="AA58" s="36"/>
      <c r="AB58" s="36"/>
      <c r="AC58" s="36"/>
      <c r="AD58" s="36"/>
      <c r="AE58" s="36"/>
      <c r="AF58" s="36"/>
      <c r="AG58" s="46"/>
      <c r="AH58" s="46"/>
      <c r="AI58" s="46"/>
      <c r="AJ58" s="36"/>
      <c r="AK58" s="36"/>
      <c r="AL58" s="36"/>
      <c r="AO58" s="65" t="s">
        <v>428</v>
      </c>
      <c r="AP58" s="37">
        <v>1</v>
      </c>
      <c r="AQ58" s="37">
        <v>0</v>
      </c>
      <c r="AR58" s="85">
        <v>0</v>
      </c>
      <c r="AU58" s="70"/>
      <c r="AV58" s="70"/>
      <c r="AW58" s="70"/>
      <c r="AZ58" s="65" t="s">
        <v>428</v>
      </c>
      <c r="BA58" s="37">
        <v>1</v>
      </c>
      <c r="BB58" s="37">
        <v>0</v>
      </c>
      <c r="BC58" s="85">
        <v>0</v>
      </c>
      <c r="BD58" s="85">
        <v>0</v>
      </c>
      <c r="BF58" s="70"/>
      <c r="BG58" s="70"/>
      <c r="BH58" s="70"/>
      <c r="BI58" s="70"/>
    </row>
    <row r="59" spans="1:61" x14ac:dyDescent="0.3">
      <c r="A59" s="374"/>
      <c r="B59" s="374"/>
      <c r="D59" s="65" t="s">
        <v>413</v>
      </c>
      <c r="E59" s="37">
        <v>1</v>
      </c>
      <c r="F59" s="37">
        <v>1</v>
      </c>
      <c r="G59" s="37">
        <v>1</v>
      </c>
      <c r="I59" s="65" t="s">
        <v>413</v>
      </c>
      <c r="J59" s="37">
        <v>0</v>
      </c>
      <c r="K59" s="37">
        <v>0</v>
      </c>
      <c r="L59" s="37">
        <v>0</v>
      </c>
      <c r="M59" s="37">
        <v>0</v>
      </c>
      <c r="N59" s="37">
        <v>0</v>
      </c>
      <c r="O59" s="37">
        <v>1</v>
      </c>
      <c r="S59" s="37">
        <v>1</v>
      </c>
      <c r="T59" s="37">
        <v>0</v>
      </c>
      <c r="U59" s="37">
        <v>0</v>
      </c>
      <c r="AG59" s="46"/>
      <c r="AH59" s="46"/>
      <c r="AI59" s="46"/>
      <c r="AO59" s="65" t="s">
        <v>429</v>
      </c>
      <c r="AP59" s="37">
        <v>1</v>
      </c>
      <c r="AQ59" s="37">
        <v>0</v>
      </c>
      <c r="AR59" s="85">
        <v>0</v>
      </c>
      <c r="AU59" s="70"/>
      <c r="AV59" s="70"/>
      <c r="AW59" s="70"/>
      <c r="AZ59" s="65" t="s">
        <v>429</v>
      </c>
      <c r="BA59" s="37">
        <v>1</v>
      </c>
      <c r="BB59" s="37">
        <v>0</v>
      </c>
      <c r="BC59" s="85">
        <v>0</v>
      </c>
      <c r="BD59" s="85">
        <v>0</v>
      </c>
      <c r="BF59" s="70"/>
      <c r="BG59" s="70"/>
      <c r="BH59" s="70"/>
      <c r="BI59" s="70"/>
    </row>
    <row r="60" spans="1:61" x14ac:dyDescent="0.3">
      <c r="A60" s="374"/>
      <c r="B60" s="374"/>
      <c r="D60" s="65" t="s">
        <v>428</v>
      </c>
      <c r="E60" s="37">
        <v>1</v>
      </c>
      <c r="F60" s="37">
        <v>0</v>
      </c>
      <c r="G60" s="37">
        <v>0</v>
      </c>
      <c r="I60" s="65" t="s">
        <v>428</v>
      </c>
      <c r="J60" s="37">
        <v>0</v>
      </c>
      <c r="K60" s="37">
        <v>0</v>
      </c>
      <c r="L60" s="37">
        <v>0</v>
      </c>
      <c r="M60" s="37">
        <v>0</v>
      </c>
      <c r="N60" s="37">
        <v>0</v>
      </c>
      <c r="O60" s="37">
        <v>0</v>
      </c>
      <c r="S60" s="37">
        <v>1</v>
      </c>
      <c r="T60" s="37">
        <v>0</v>
      </c>
      <c r="U60" s="37">
        <v>0</v>
      </c>
      <c r="W60" s="37">
        <v>19</v>
      </c>
      <c r="X60" s="50" t="e">
        <f>VLOOKUP(Summary!H42,D7:U300,MATCH(E7,D7:G7),FALSE)</f>
        <v>#N/A</v>
      </c>
      <c r="Y60" s="50" t="e">
        <f>VLOOKUP(Summary!H42,D7:U300,MATCH(F7,D7:G7),FALSE)</f>
        <v>#N/A</v>
      </c>
      <c r="Z60" s="50" t="e">
        <f>VLOOKUP(Summary!H42,D7:G300,MATCH(G7,D7:G7),FALSE)</f>
        <v>#N/A</v>
      </c>
      <c r="AA60" s="50" t="e">
        <f>VLOOKUP(Summary!H42,I7:U300,MATCH(J7,I7:L7),FALSE)</f>
        <v>#N/A</v>
      </c>
      <c r="AB60" s="50" t="e">
        <f>VLOOKUP(Summary!H42,I7:U300,MATCH(K7,I7:L7),FALSE)</f>
        <v>#N/A</v>
      </c>
      <c r="AC60" s="54" t="e">
        <f>VLOOKUP(Summary!H42,I7:U300,MATCH(L7,I7:L7),FALSE)</f>
        <v>#N/A</v>
      </c>
      <c r="AD60" s="54" t="e">
        <f>VLOOKUP(Summary!H42,D7:U300,MATCH(M7,D7:U7),FALSE)</f>
        <v>#N/A</v>
      </c>
      <c r="AE60" s="54" t="e">
        <f>VLOOKUP(Summary!H42,I7:U300,MATCH(N7,I7:N7),FALSE)</f>
        <v>#N/A</v>
      </c>
      <c r="AF60" s="54" t="e">
        <f>VLOOKUP(Summary!H42,I7:U300,MATCH(O7,I7:U7),FALSE)</f>
        <v>#N/A</v>
      </c>
      <c r="AG60" s="46"/>
      <c r="AH60" s="46"/>
      <c r="AI60" s="46"/>
      <c r="AJ60" s="54" t="e">
        <f>VLOOKUP(Summary!H42,I7:U300,MATCH(S7,I7:U7),FALSE)</f>
        <v>#N/A</v>
      </c>
      <c r="AK60" s="54" t="e">
        <f>VLOOKUP(Summary!H42,I7:U300,MATCH(T7,I7:U7),FALSE)</f>
        <v>#N/A</v>
      </c>
      <c r="AL60" s="54" t="e">
        <f>VLOOKUP(Summary!H42,I7:U300,MATCH(U7,I7:U7),FALSE)</f>
        <v>#N/A</v>
      </c>
      <c r="AO60" s="65" t="s">
        <v>266</v>
      </c>
      <c r="AP60" s="37">
        <v>1</v>
      </c>
      <c r="AQ60" s="37">
        <v>0</v>
      </c>
      <c r="AR60" s="85">
        <v>0</v>
      </c>
      <c r="AU60" s="70"/>
      <c r="AV60" s="70"/>
      <c r="AW60" s="70"/>
      <c r="AZ60" s="65" t="s">
        <v>266</v>
      </c>
      <c r="BA60" s="37">
        <v>1</v>
      </c>
      <c r="BB60" s="37">
        <v>0</v>
      </c>
      <c r="BC60" s="85">
        <v>0</v>
      </c>
      <c r="BD60" s="85">
        <v>0</v>
      </c>
      <c r="BF60" s="70"/>
      <c r="BG60" s="70"/>
      <c r="BH60" s="70"/>
      <c r="BI60" s="70"/>
    </row>
    <row r="61" spans="1:61" x14ac:dyDescent="0.3">
      <c r="A61" s="374"/>
      <c r="B61" s="374"/>
      <c r="D61" s="65" t="s">
        <v>429</v>
      </c>
      <c r="E61" s="37">
        <v>1</v>
      </c>
      <c r="F61" s="37">
        <v>0</v>
      </c>
      <c r="G61" s="37">
        <v>0</v>
      </c>
      <c r="I61" s="65" t="s">
        <v>429</v>
      </c>
      <c r="J61" s="37">
        <v>0</v>
      </c>
      <c r="K61" s="37">
        <v>0</v>
      </c>
      <c r="L61" s="37">
        <v>0</v>
      </c>
      <c r="M61" s="37">
        <v>0</v>
      </c>
      <c r="N61" s="37">
        <v>0</v>
      </c>
      <c r="O61" s="37">
        <v>0</v>
      </c>
      <c r="S61" s="37">
        <v>1</v>
      </c>
      <c r="T61" s="37">
        <v>0</v>
      </c>
      <c r="U61" s="37">
        <v>0</v>
      </c>
      <c r="X61" s="36"/>
      <c r="Y61" s="36"/>
      <c r="Z61" s="36"/>
      <c r="AA61" s="36"/>
      <c r="AB61" s="36"/>
      <c r="AC61" s="36"/>
      <c r="AD61" s="36"/>
      <c r="AE61" s="36"/>
      <c r="AF61" s="36"/>
      <c r="AG61" s="46"/>
      <c r="AH61" s="46"/>
      <c r="AI61" s="46"/>
      <c r="AJ61" s="36"/>
      <c r="AK61" s="36"/>
      <c r="AL61" s="36"/>
      <c r="AO61" s="65" t="s">
        <v>309</v>
      </c>
      <c r="AP61" s="37">
        <v>1</v>
      </c>
      <c r="AQ61" s="37">
        <v>0</v>
      </c>
      <c r="AR61" s="85">
        <v>0</v>
      </c>
      <c r="AU61" s="70"/>
      <c r="AV61" s="70"/>
      <c r="AW61" s="70"/>
      <c r="AZ61" s="65" t="s">
        <v>309</v>
      </c>
      <c r="BA61" s="37">
        <v>1</v>
      </c>
      <c r="BB61" s="37">
        <v>0</v>
      </c>
      <c r="BC61" s="85">
        <v>0</v>
      </c>
      <c r="BD61" s="85">
        <v>0</v>
      </c>
      <c r="BF61" s="70"/>
      <c r="BG61" s="70"/>
      <c r="BH61" s="70"/>
      <c r="BI61" s="70"/>
    </row>
    <row r="62" spans="1:61" x14ac:dyDescent="0.3">
      <c r="A62" s="374"/>
      <c r="B62" s="374"/>
      <c r="D62" s="65" t="s">
        <v>266</v>
      </c>
      <c r="E62" s="37">
        <v>1</v>
      </c>
      <c r="F62" s="37">
        <v>1</v>
      </c>
      <c r="G62" s="37">
        <v>0</v>
      </c>
      <c r="I62" s="65" t="s">
        <v>266</v>
      </c>
      <c r="J62" s="37">
        <v>0</v>
      </c>
      <c r="K62" s="37">
        <v>0</v>
      </c>
      <c r="L62" s="37">
        <v>0</v>
      </c>
      <c r="M62" s="37">
        <v>0</v>
      </c>
      <c r="N62" s="37">
        <v>0</v>
      </c>
      <c r="O62" s="37">
        <v>0</v>
      </c>
      <c r="S62" s="37">
        <v>1</v>
      </c>
      <c r="T62" s="37">
        <v>0</v>
      </c>
      <c r="U62" s="37">
        <v>0</v>
      </c>
      <c r="AG62" s="46"/>
      <c r="AH62" s="46"/>
      <c r="AI62" s="46"/>
      <c r="AO62" s="65" t="s">
        <v>319</v>
      </c>
      <c r="AP62" s="37">
        <v>1</v>
      </c>
      <c r="AQ62" s="37">
        <v>0</v>
      </c>
      <c r="AR62" s="85">
        <v>0</v>
      </c>
      <c r="AU62" s="70"/>
      <c r="AV62" s="70"/>
      <c r="AW62" s="70"/>
      <c r="AZ62" s="65" t="s">
        <v>319</v>
      </c>
      <c r="BA62" s="85">
        <v>1</v>
      </c>
      <c r="BB62" s="85">
        <v>0</v>
      </c>
      <c r="BC62" s="85">
        <v>0</v>
      </c>
      <c r="BD62" s="85">
        <v>0</v>
      </c>
      <c r="BF62" s="70"/>
      <c r="BG62" s="70"/>
      <c r="BH62" s="70"/>
      <c r="BI62" s="70"/>
    </row>
    <row r="63" spans="1:61" x14ac:dyDescent="0.3">
      <c r="A63" s="374"/>
      <c r="B63" s="374"/>
      <c r="D63" s="65" t="s">
        <v>309</v>
      </c>
      <c r="E63" s="37">
        <v>1</v>
      </c>
      <c r="F63" s="37">
        <v>0</v>
      </c>
      <c r="G63" s="37">
        <v>0</v>
      </c>
      <c r="I63" s="65" t="s">
        <v>309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1</v>
      </c>
      <c r="S63" s="37">
        <v>1</v>
      </c>
      <c r="T63" s="37">
        <v>0</v>
      </c>
      <c r="U63" s="37">
        <v>0</v>
      </c>
      <c r="W63" s="37">
        <v>20</v>
      </c>
      <c r="X63" s="36" t="e">
        <f>VLOOKUP(Summary!H43,D7:U300,MATCH(E7,D7:G7),FALSE)</f>
        <v>#N/A</v>
      </c>
      <c r="Y63" s="50" t="e">
        <f>VLOOKUP(Summary!H43,D7:U300,MATCH(F7,D7:G7),FALSE)</f>
        <v>#N/A</v>
      </c>
      <c r="Z63" s="50" t="e">
        <f>VLOOKUP(Summary!H43,D7:G300,MATCH(G7,D7:G7),FALSE)</f>
        <v>#N/A</v>
      </c>
      <c r="AA63" s="50" t="e">
        <f>VLOOKUP(Summary!H43,I7:U300,MATCH(J7,I7:L7),FALSE)</f>
        <v>#N/A</v>
      </c>
      <c r="AB63" s="50" t="e">
        <f>VLOOKUP(Summary!H43,I7:U300,MATCH(K7,I7:L7),FALSE)</f>
        <v>#N/A</v>
      </c>
      <c r="AC63" s="54" t="e">
        <f>VLOOKUP(Summary!H43,I7:U300,MATCH(L7,I7:L7),FALSE)</f>
        <v>#N/A</v>
      </c>
      <c r="AD63" s="54" t="e">
        <f>VLOOKUP(Summary!H43,D7:U300,MATCH(M7,D7:U7),FALSE)</f>
        <v>#N/A</v>
      </c>
      <c r="AE63" s="52" t="e">
        <f>VLOOKUP(Summary!H43,I7:U300,MATCH(N7,I7:N7),FALSE)</f>
        <v>#N/A</v>
      </c>
      <c r="AF63" s="54" t="e">
        <f>VLOOKUP(Summary!H43,I7:U300,MATCH(O7,I7:U7),FALSE)</f>
        <v>#N/A</v>
      </c>
      <c r="AG63" s="46"/>
      <c r="AH63" s="46"/>
      <c r="AI63" s="46"/>
      <c r="AJ63" s="54" t="e">
        <f>VLOOKUP(Summary!H43,I7:U300,MATCH(S7,I7:U7),FALSE)</f>
        <v>#N/A</v>
      </c>
      <c r="AK63" s="54" t="e">
        <f>VLOOKUP(Summary!H43,I7:U300,MATCH(T7,I7:U7),FALSE)</f>
        <v>#N/A</v>
      </c>
      <c r="AL63" s="54" t="e">
        <f>VLOOKUP(Summary!H43,I7:U300,MATCH(U7,I7:U7),FALSE)</f>
        <v>#N/A</v>
      </c>
      <c r="AO63" s="65" t="s">
        <v>322</v>
      </c>
      <c r="AP63" s="37">
        <v>1</v>
      </c>
      <c r="AQ63" s="37">
        <v>0</v>
      </c>
      <c r="AR63" s="85">
        <v>0</v>
      </c>
      <c r="AU63" s="70"/>
      <c r="AV63" s="70"/>
      <c r="AW63" s="70"/>
      <c r="AZ63" s="65" t="s">
        <v>322</v>
      </c>
      <c r="BA63" s="85">
        <v>1</v>
      </c>
      <c r="BB63" s="85">
        <v>0</v>
      </c>
      <c r="BC63" s="85">
        <v>0</v>
      </c>
      <c r="BD63" s="85">
        <v>0</v>
      </c>
      <c r="BF63" s="70"/>
      <c r="BG63" s="70"/>
      <c r="BH63" s="70"/>
      <c r="BI63" s="70"/>
    </row>
    <row r="64" spans="1:61" x14ac:dyDescent="0.3">
      <c r="A64" s="371" t="s">
        <v>437</v>
      </c>
      <c r="B64" s="371"/>
      <c r="D64" s="65" t="s">
        <v>319</v>
      </c>
      <c r="E64" s="37">
        <v>1</v>
      </c>
      <c r="F64" s="37">
        <v>0</v>
      </c>
      <c r="G64" s="37">
        <v>1</v>
      </c>
      <c r="I64" s="65" t="s">
        <v>319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1</v>
      </c>
      <c r="S64" s="37">
        <v>1</v>
      </c>
      <c r="T64" s="37">
        <v>0</v>
      </c>
      <c r="U64" s="37">
        <v>0</v>
      </c>
      <c r="X64" s="36"/>
      <c r="Y64" s="36"/>
      <c r="Z64" s="36"/>
      <c r="AA64" s="36"/>
      <c r="AB64" s="36"/>
      <c r="AC64" s="36"/>
      <c r="AD64" s="36"/>
      <c r="AE64" s="36"/>
      <c r="AF64" s="36"/>
      <c r="AG64" s="46"/>
      <c r="AH64" s="46"/>
      <c r="AI64" s="46"/>
      <c r="AJ64" s="36"/>
      <c r="AK64" s="36"/>
      <c r="AL64" s="36"/>
      <c r="AO64" s="65" t="s">
        <v>320</v>
      </c>
      <c r="AP64" s="37">
        <v>1</v>
      </c>
      <c r="AQ64" s="37">
        <v>0</v>
      </c>
      <c r="AR64" s="85">
        <v>0</v>
      </c>
      <c r="AU64" s="70"/>
      <c r="AV64" s="70"/>
      <c r="AW64" s="70"/>
      <c r="AZ64" s="65" t="s">
        <v>320</v>
      </c>
      <c r="BA64" s="85">
        <v>1</v>
      </c>
      <c r="BB64" s="85">
        <v>0</v>
      </c>
      <c r="BC64" s="85">
        <v>0</v>
      </c>
      <c r="BD64" s="85">
        <v>0</v>
      </c>
      <c r="BF64" s="70"/>
      <c r="BG64" s="70"/>
      <c r="BH64" s="70"/>
      <c r="BI64" s="70"/>
    </row>
    <row r="65" spans="1:61" x14ac:dyDescent="0.3">
      <c r="A65" s="371"/>
      <c r="B65" s="371"/>
      <c r="D65" s="65" t="s">
        <v>322</v>
      </c>
      <c r="E65" s="37">
        <v>1</v>
      </c>
      <c r="F65" s="37">
        <v>1</v>
      </c>
      <c r="G65" s="37">
        <v>1</v>
      </c>
      <c r="I65" s="65" t="s">
        <v>322</v>
      </c>
      <c r="J65" s="37">
        <v>0</v>
      </c>
      <c r="K65" s="37">
        <v>0</v>
      </c>
      <c r="L65" s="37">
        <v>0</v>
      </c>
      <c r="M65" s="37">
        <v>0</v>
      </c>
      <c r="N65" s="37">
        <v>0</v>
      </c>
      <c r="O65" s="37">
        <v>0</v>
      </c>
      <c r="S65" s="37">
        <v>1</v>
      </c>
      <c r="T65" s="37">
        <v>0</v>
      </c>
      <c r="U65" s="37">
        <v>0</v>
      </c>
      <c r="AG65" s="46"/>
      <c r="AH65" s="46"/>
      <c r="AI65" s="46"/>
      <c r="AO65" s="65" t="s">
        <v>321</v>
      </c>
      <c r="AP65" s="37">
        <v>1</v>
      </c>
      <c r="AQ65" s="37">
        <v>0</v>
      </c>
      <c r="AR65" s="85">
        <v>0</v>
      </c>
      <c r="AU65" s="70"/>
      <c r="AV65" s="70"/>
      <c r="AW65" s="70"/>
      <c r="AZ65" s="65" t="s">
        <v>321</v>
      </c>
      <c r="BA65" s="85">
        <v>1</v>
      </c>
      <c r="BB65" s="85">
        <v>0</v>
      </c>
      <c r="BC65" s="85">
        <v>0</v>
      </c>
      <c r="BD65" s="85">
        <v>0</v>
      </c>
      <c r="BF65" s="70"/>
      <c r="BG65" s="70"/>
      <c r="BH65" s="70"/>
      <c r="BI65" s="70"/>
    </row>
    <row r="66" spans="1:61" x14ac:dyDescent="0.3">
      <c r="A66" s="371"/>
      <c r="B66" s="371"/>
      <c r="D66" s="65" t="s">
        <v>320</v>
      </c>
      <c r="E66" s="37">
        <v>1</v>
      </c>
      <c r="F66" s="37">
        <v>1</v>
      </c>
      <c r="G66" s="37">
        <v>1</v>
      </c>
      <c r="I66" s="65" t="s">
        <v>320</v>
      </c>
      <c r="J66" s="37">
        <v>0</v>
      </c>
      <c r="K66" s="37">
        <v>0</v>
      </c>
      <c r="L66" s="37">
        <v>0</v>
      </c>
      <c r="M66" s="37">
        <v>0</v>
      </c>
      <c r="N66" s="37">
        <v>0</v>
      </c>
      <c r="O66" s="37">
        <v>1</v>
      </c>
      <c r="S66" s="37">
        <v>1</v>
      </c>
      <c r="T66" s="37">
        <v>0</v>
      </c>
      <c r="U66" s="37">
        <v>0</v>
      </c>
      <c r="W66" s="37">
        <v>21</v>
      </c>
      <c r="X66" s="36" t="e">
        <f>VLOOKUP(Summary!H44,D7:U300,MATCH(E7,D7:G7),FALSE)</f>
        <v>#N/A</v>
      </c>
      <c r="Y66" s="50" t="e">
        <f>VLOOKUP(Summary!H44,D7:U300,MATCH(F7,D7:G7),FALSE)</f>
        <v>#N/A</v>
      </c>
      <c r="Z66" s="50" t="e">
        <f>VLOOKUP(Summary!H44,D7:G300,MATCH(G7,D7:G7),FALSE)</f>
        <v>#N/A</v>
      </c>
      <c r="AA66" s="50" t="e">
        <f>VLOOKUP(Summary!H44,I7:U300,MATCH(J7,I7:L7),FALSE)</f>
        <v>#N/A</v>
      </c>
      <c r="AB66" s="50" t="e">
        <f>VLOOKUP(Summary!H44,I7:U300,MATCH(K7,I7:L7),FALSE)</f>
        <v>#N/A</v>
      </c>
      <c r="AC66" s="54" t="e">
        <f>VLOOKUP(Summary!H44,I7:U300,MATCH(L7,I7:L7),FALSE)</f>
        <v>#N/A</v>
      </c>
      <c r="AD66" s="54" t="e">
        <f>VLOOKUP(Summary!H44,D7:U300,MATCH(M7,D7:U7),FALSE)</f>
        <v>#N/A</v>
      </c>
      <c r="AE66" s="54" t="e">
        <f>VLOOKUP(Summary!H44,I7:U300,MATCH(N7,I7:N7),FALSE)</f>
        <v>#N/A</v>
      </c>
      <c r="AF66" s="54" t="e">
        <f>VLOOKUP(Summary!H44,I7:U300,MATCH(O7,I7:U7),FALSE)</f>
        <v>#N/A</v>
      </c>
      <c r="AG66" s="46"/>
      <c r="AH66" s="46"/>
      <c r="AI66" s="46"/>
      <c r="AJ66" s="54" t="e">
        <f>VLOOKUP(Summary!H44,I7:U300,MATCH(S7,I7:U7),FALSE)</f>
        <v>#N/A</v>
      </c>
      <c r="AK66" s="54" t="e">
        <f>VLOOKUP(Summary!H44,I7:U300,MATCH(T7,I7:U7),FALSE)</f>
        <v>#N/A</v>
      </c>
      <c r="AL66" s="36" t="e">
        <f>VLOOKUP(Summary!H44,I7:U300,MATCH(U7,I7:U7),FALSE)</f>
        <v>#N/A</v>
      </c>
      <c r="AO66" s="65" t="s">
        <v>326</v>
      </c>
      <c r="AP66" s="37">
        <v>1</v>
      </c>
      <c r="AQ66" s="37">
        <v>0</v>
      </c>
      <c r="AR66" s="85">
        <v>0</v>
      </c>
      <c r="AU66" s="70"/>
      <c r="AV66" s="70"/>
      <c r="AW66" s="70"/>
      <c r="AZ66" s="65" t="s">
        <v>326</v>
      </c>
      <c r="BA66" s="85">
        <v>1</v>
      </c>
      <c r="BB66" s="85">
        <v>0</v>
      </c>
      <c r="BC66" s="85">
        <v>0</v>
      </c>
      <c r="BD66" s="85">
        <v>0</v>
      </c>
      <c r="BF66" s="70"/>
      <c r="BG66" s="70"/>
      <c r="BH66" s="70"/>
      <c r="BI66" s="70"/>
    </row>
    <row r="67" spans="1:61" x14ac:dyDescent="0.3">
      <c r="A67" s="371"/>
      <c r="B67" s="371"/>
      <c r="D67" s="65" t="s">
        <v>321</v>
      </c>
      <c r="E67" s="37">
        <v>1</v>
      </c>
      <c r="F67" s="37">
        <v>1</v>
      </c>
      <c r="G67" s="37">
        <v>1</v>
      </c>
      <c r="I67" s="65" t="s">
        <v>321</v>
      </c>
      <c r="J67" s="37">
        <v>0</v>
      </c>
      <c r="K67" s="37">
        <v>0</v>
      </c>
      <c r="L67" s="37">
        <v>0</v>
      </c>
      <c r="M67" s="37">
        <v>0</v>
      </c>
      <c r="N67" s="37">
        <v>0</v>
      </c>
      <c r="O67" s="37">
        <v>0</v>
      </c>
      <c r="S67" s="37">
        <v>1</v>
      </c>
      <c r="T67" s="37">
        <v>0</v>
      </c>
      <c r="U67" s="37">
        <v>0</v>
      </c>
      <c r="X67" s="36"/>
      <c r="Y67" s="36"/>
      <c r="Z67" s="36"/>
      <c r="AA67" s="36"/>
      <c r="AB67" s="36"/>
      <c r="AC67" s="36"/>
      <c r="AD67" s="36"/>
      <c r="AE67" s="36"/>
      <c r="AF67" s="36"/>
      <c r="AG67" s="46"/>
      <c r="AH67" s="46"/>
      <c r="AI67" s="46"/>
      <c r="AJ67" s="36"/>
      <c r="AK67" s="36"/>
      <c r="AL67" s="36"/>
      <c r="AO67" s="65" t="s">
        <v>327</v>
      </c>
      <c r="AP67" s="37">
        <v>1</v>
      </c>
      <c r="AQ67" s="37">
        <v>0</v>
      </c>
      <c r="AR67" s="85">
        <v>0</v>
      </c>
      <c r="AU67" s="70"/>
      <c r="AV67" s="70"/>
      <c r="AW67" s="70"/>
      <c r="AZ67" s="65" t="s">
        <v>327</v>
      </c>
      <c r="BA67" s="85">
        <v>1</v>
      </c>
      <c r="BB67" s="85">
        <v>0</v>
      </c>
      <c r="BC67" s="85">
        <v>0</v>
      </c>
      <c r="BD67" s="85">
        <v>0</v>
      </c>
      <c r="BF67" s="73"/>
      <c r="BG67" s="73"/>
      <c r="BH67" s="73"/>
      <c r="BI67" s="73"/>
    </row>
    <row r="68" spans="1:61" x14ac:dyDescent="0.3">
      <c r="A68" s="371"/>
      <c r="B68" s="371"/>
      <c r="D68" s="65" t="s">
        <v>326</v>
      </c>
      <c r="E68" s="37">
        <v>1</v>
      </c>
      <c r="F68" s="37">
        <v>0</v>
      </c>
      <c r="G68" s="37">
        <v>0</v>
      </c>
      <c r="I68" s="65" t="s">
        <v>326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S68" s="37">
        <v>1</v>
      </c>
      <c r="T68" s="37">
        <v>0</v>
      </c>
      <c r="U68" s="37">
        <v>0</v>
      </c>
      <c r="AG68" s="46"/>
      <c r="AH68" s="46"/>
      <c r="AI68" s="46"/>
      <c r="AO68" s="65" t="s">
        <v>323</v>
      </c>
      <c r="AP68" s="37">
        <v>1</v>
      </c>
      <c r="AQ68" s="37">
        <v>0</v>
      </c>
      <c r="AR68" s="85">
        <v>0</v>
      </c>
      <c r="AU68" s="70"/>
      <c r="AV68" s="70"/>
      <c r="AW68" s="70"/>
      <c r="AZ68" s="65" t="s">
        <v>323</v>
      </c>
      <c r="BA68" s="85">
        <v>1</v>
      </c>
      <c r="BB68" s="85">
        <v>0</v>
      </c>
      <c r="BC68" s="85">
        <v>0</v>
      </c>
      <c r="BD68" s="85">
        <v>0</v>
      </c>
      <c r="BF68" s="70"/>
      <c r="BG68" s="70"/>
      <c r="BH68" s="70"/>
      <c r="BI68" s="70"/>
    </row>
    <row r="69" spans="1:61" x14ac:dyDescent="0.3">
      <c r="A69" s="371"/>
      <c r="B69" s="371"/>
      <c r="D69" s="65" t="s">
        <v>327</v>
      </c>
      <c r="E69" s="37">
        <v>1</v>
      </c>
      <c r="F69" s="37">
        <v>1</v>
      </c>
      <c r="G69" s="37">
        <v>1</v>
      </c>
      <c r="I69" s="65" t="s">
        <v>327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1</v>
      </c>
      <c r="S69" s="37">
        <v>1</v>
      </c>
      <c r="T69" s="37">
        <v>0</v>
      </c>
      <c r="U69" s="37">
        <v>0</v>
      </c>
      <c r="AG69" s="46"/>
      <c r="AH69" s="46"/>
      <c r="AI69" s="46"/>
      <c r="AO69" s="65" t="s">
        <v>329</v>
      </c>
      <c r="AP69" s="37">
        <v>1</v>
      </c>
      <c r="AQ69" s="37">
        <v>0</v>
      </c>
      <c r="AR69" s="85">
        <v>0</v>
      </c>
      <c r="AU69" s="70"/>
      <c r="AV69" s="70"/>
      <c r="AW69" s="70"/>
      <c r="AZ69" s="65" t="s">
        <v>329</v>
      </c>
      <c r="BA69" s="85">
        <v>1</v>
      </c>
      <c r="BB69" s="85">
        <v>0</v>
      </c>
      <c r="BC69" s="85">
        <v>0</v>
      </c>
      <c r="BD69" s="85">
        <v>0</v>
      </c>
      <c r="BF69" s="70"/>
      <c r="BG69" s="70"/>
      <c r="BH69" s="70"/>
      <c r="BI69" s="70"/>
    </row>
    <row r="70" spans="1:61" x14ac:dyDescent="0.3">
      <c r="A70" s="371"/>
      <c r="B70" s="371"/>
      <c r="D70" s="65" t="s">
        <v>323</v>
      </c>
      <c r="E70" s="37">
        <v>1</v>
      </c>
      <c r="F70" s="37">
        <v>0</v>
      </c>
      <c r="G70" s="37">
        <v>0</v>
      </c>
      <c r="I70" s="65" t="s">
        <v>323</v>
      </c>
      <c r="J70" s="37">
        <v>0</v>
      </c>
      <c r="K70" s="37">
        <v>0</v>
      </c>
      <c r="L70" s="37">
        <v>0</v>
      </c>
      <c r="M70" s="37">
        <v>0</v>
      </c>
      <c r="N70" s="37">
        <v>0</v>
      </c>
      <c r="O70" s="37">
        <v>0</v>
      </c>
      <c r="S70" s="37">
        <v>1</v>
      </c>
      <c r="T70" s="37">
        <v>0</v>
      </c>
      <c r="U70" s="37">
        <v>0</v>
      </c>
      <c r="AG70" s="46"/>
      <c r="AH70" s="46"/>
      <c r="AI70" s="46"/>
      <c r="AO70" s="65" t="s">
        <v>430</v>
      </c>
      <c r="AP70" s="37">
        <v>1</v>
      </c>
      <c r="AQ70" s="37">
        <v>0</v>
      </c>
      <c r="AR70" s="85">
        <v>0</v>
      </c>
      <c r="AU70" s="70"/>
      <c r="AV70" s="70"/>
      <c r="AW70" s="70"/>
      <c r="AZ70" s="65" t="s">
        <v>430</v>
      </c>
      <c r="BA70" s="85">
        <v>1</v>
      </c>
      <c r="BB70" s="85">
        <v>0</v>
      </c>
      <c r="BC70" s="85">
        <v>0</v>
      </c>
      <c r="BD70" s="85">
        <v>0</v>
      </c>
      <c r="BF70" s="70"/>
      <c r="BG70" s="70"/>
      <c r="BH70" s="70"/>
      <c r="BI70" s="70"/>
    </row>
    <row r="71" spans="1:61" ht="21" x14ac:dyDescent="0.4">
      <c r="A71" s="371"/>
      <c r="B71" s="371"/>
      <c r="D71" s="65" t="s">
        <v>329</v>
      </c>
      <c r="E71" s="37">
        <v>1</v>
      </c>
      <c r="F71" s="37">
        <v>0</v>
      </c>
      <c r="G71" s="37">
        <v>0</v>
      </c>
      <c r="I71" s="65" t="s">
        <v>329</v>
      </c>
      <c r="J71" s="37">
        <v>0</v>
      </c>
      <c r="K71" s="37">
        <v>0</v>
      </c>
      <c r="L71" s="37">
        <v>0</v>
      </c>
      <c r="M71" s="37">
        <v>0</v>
      </c>
      <c r="N71" s="37">
        <v>0</v>
      </c>
      <c r="O71" s="37">
        <v>0</v>
      </c>
      <c r="S71" s="37">
        <v>1</v>
      </c>
      <c r="T71" s="37">
        <v>0</v>
      </c>
      <c r="U71" s="37">
        <v>0</v>
      </c>
      <c r="X71" s="43" t="e">
        <f t="shared" ref="X71:AF71" si="0">SUM(X6:X70)</f>
        <v>#N/A</v>
      </c>
      <c r="Y71" s="43" t="e">
        <f t="shared" si="0"/>
        <v>#N/A</v>
      </c>
      <c r="Z71" s="43" t="e">
        <f t="shared" si="0"/>
        <v>#N/A</v>
      </c>
      <c r="AA71" s="43" t="e">
        <f t="shared" si="0"/>
        <v>#N/A</v>
      </c>
      <c r="AB71" s="43" t="e">
        <f t="shared" si="0"/>
        <v>#N/A</v>
      </c>
      <c r="AC71" s="43" t="e">
        <f t="shared" si="0"/>
        <v>#N/A</v>
      </c>
      <c r="AD71" s="43" t="e">
        <f t="shared" si="0"/>
        <v>#N/A</v>
      </c>
      <c r="AE71" s="43" t="e">
        <f t="shared" si="0"/>
        <v>#N/A</v>
      </c>
      <c r="AF71" s="43" t="e">
        <f t="shared" si="0"/>
        <v>#N/A</v>
      </c>
      <c r="AG71" s="49"/>
      <c r="AH71" s="49"/>
      <c r="AI71" s="49"/>
      <c r="AJ71" s="43" t="e">
        <f>SUM(AJ6:AJ70)</f>
        <v>#N/A</v>
      </c>
      <c r="AK71" s="43" t="e">
        <f>SUM(AK6:AK70)</f>
        <v>#N/A</v>
      </c>
      <c r="AL71" s="43" t="e">
        <f>SUM(AL6:AL70)</f>
        <v>#N/A</v>
      </c>
      <c r="AO71" s="65" t="s">
        <v>328</v>
      </c>
      <c r="AP71" s="37">
        <v>1</v>
      </c>
      <c r="AQ71" s="37">
        <v>0</v>
      </c>
      <c r="AR71" s="85">
        <v>0</v>
      </c>
      <c r="AU71" s="70"/>
      <c r="AV71" s="70"/>
      <c r="AW71" s="70"/>
      <c r="AZ71" s="65" t="s">
        <v>328</v>
      </c>
      <c r="BA71" s="85">
        <v>1</v>
      </c>
      <c r="BB71" s="85">
        <v>0</v>
      </c>
      <c r="BC71" s="85">
        <v>0</v>
      </c>
      <c r="BD71" s="85">
        <v>0</v>
      </c>
      <c r="BF71" s="70"/>
      <c r="BG71" s="70"/>
      <c r="BH71" s="70"/>
      <c r="BI71" s="70"/>
    </row>
    <row r="72" spans="1:61" ht="21" x14ac:dyDescent="0.4">
      <c r="A72" s="371"/>
      <c r="B72" s="371"/>
      <c r="D72" s="65" t="s">
        <v>430</v>
      </c>
      <c r="E72" s="37">
        <v>1</v>
      </c>
      <c r="F72" s="37">
        <v>0</v>
      </c>
      <c r="G72" s="37">
        <v>0</v>
      </c>
      <c r="I72" s="65" t="s">
        <v>430</v>
      </c>
      <c r="J72" s="37">
        <v>0</v>
      </c>
      <c r="K72" s="37">
        <v>0</v>
      </c>
      <c r="L72" s="37">
        <v>0</v>
      </c>
      <c r="M72" s="37">
        <v>0</v>
      </c>
      <c r="N72" s="37">
        <v>0</v>
      </c>
      <c r="O72" s="37">
        <v>0</v>
      </c>
      <c r="S72" s="37">
        <v>1</v>
      </c>
      <c r="T72" s="37">
        <v>0</v>
      </c>
      <c r="U72" s="37">
        <v>0</v>
      </c>
      <c r="X72" s="43"/>
      <c r="Y72" s="43"/>
      <c r="Z72" s="43"/>
      <c r="AA72" s="43"/>
      <c r="AB72" s="43"/>
      <c r="AC72" s="43"/>
      <c r="AD72" s="43"/>
      <c r="AE72" s="43"/>
      <c r="AF72" s="43"/>
      <c r="AG72" s="49"/>
      <c r="AH72" s="49"/>
      <c r="AI72" s="49"/>
      <c r="AJ72" s="43"/>
      <c r="AK72" s="43"/>
      <c r="AL72" s="43"/>
      <c r="AO72" s="65" t="s">
        <v>325</v>
      </c>
      <c r="AP72" s="37">
        <v>1</v>
      </c>
      <c r="AQ72" s="37">
        <v>0</v>
      </c>
      <c r="AR72" s="85">
        <v>0</v>
      </c>
      <c r="AU72" s="70"/>
      <c r="AV72" s="70"/>
      <c r="AW72" s="70"/>
      <c r="AZ72" s="65" t="s">
        <v>325</v>
      </c>
      <c r="BA72" s="85">
        <v>1</v>
      </c>
      <c r="BB72" s="85">
        <v>0</v>
      </c>
      <c r="BC72" s="85">
        <v>0</v>
      </c>
      <c r="BD72" s="85">
        <v>0</v>
      </c>
      <c r="BF72" s="70"/>
      <c r="BG72" s="70"/>
      <c r="BH72" s="70"/>
      <c r="BI72" s="70"/>
    </row>
    <row r="73" spans="1:61" x14ac:dyDescent="0.3">
      <c r="A73" s="371"/>
      <c r="B73" s="371"/>
      <c r="D73" s="65" t="s">
        <v>328</v>
      </c>
      <c r="E73" s="37">
        <v>1</v>
      </c>
      <c r="F73" s="37">
        <v>1</v>
      </c>
      <c r="G73" s="37">
        <v>1</v>
      </c>
      <c r="I73" s="65" t="s">
        <v>328</v>
      </c>
      <c r="J73" s="37">
        <v>0</v>
      </c>
      <c r="K73" s="37">
        <v>0</v>
      </c>
      <c r="L73" s="37">
        <v>0</v>
      </c>
      <c r="M73" s="37">
        <v>0</v>
      </c>
      <c r="N73" s="37">
        <v>0</v>
      </c>
      <c r="O73" s="37">
        <v>1</v>
      </c>
      <c r="S73" s="37">
        <v>1</v>
      </c>
      <c r="T73" s="37">
        <v>0</v>
      </c>
      <c r="U73" s="37">
        <v>0</v>
      </c>
      <c r="AO73" s="65" t="s">
        <v>324</v>
      </c>
      <c r="AP73" s="37">
        <v>1</v>
      </c>
      <c r="AQ73" s="37">
        <v>0</v>
      </c>
      <c r="AR73" s="85">
        <v>0</v>
      </c>
      <c r="AU73" s="70"/>
      <c r="AV73" s="70"/>
      <c r="AW73" s="70"/>
      <c r="AZ73" s="65" t="s">
        <v>324</v>
      </c>
      <c r="BA73" s="85">
        <v>1</v>
      </c>
      <c r="BB73" s="85">
        <v>0</v>
      </c>
      <c r="BC73" s="85">
        <v>0</v>
      </c>
      <c r="BD73" s="85">
        <v>0</v>
      </c>
      <c r="BF73" s="70"/>
      <c r="BG73" s="70"/>
      <c r="BH73" s="70"/>
      <c r="BI73" s="70"/>
    </row>
    <row r="74" spans="1:61" x14ac:dyDescent="0.3">
      <c r="A74" s="371"/>
      <c r="B74" s="371"/>
      <c r="D74" s="65" t="s">
        <v>325</v>
      </c>
      <c r="E74" s="37">
        <v>1</v>
      </c>
      <c r="F74" s="37">
        <v>1</v>
      </c>
      <c r="G74" s="37">
        <v>0</v>
      </c>
      <c r="I74" s="65" t="s">
        <v>325</v>
      </c>
      <c r="J74" s="37">
        <v>0</v>
      </c>
      <c r="K74" s="37">
        <v>0</v>
      </c>
      <c r="L74" s="37">
        <v>0</v>
      </c>
      <c r="M74" s="37">
        <v>0</v>
      </c>
      <c r="N74" s="37">
        <v>0</v>
      </c>
      <c r="O74" s="37">
        <v>1</v>
      </c>
      <c r="S74" s="37">
        <v>1</v>
      </c>
      <c r="T74" s="37">
        <v>0</v>
      </c>
      <c r="U74" s="37">
        <v>0</v>
      </c>
      <c r="AO74" s="65" t="s">
        <v>431</v>
      </c>
      <c r="AP74" s="37">
        <v>1</v>
      </c>
      <c r="AQ74" s="37">
        <v>0</v>
      </c>
      <c r="AR74" s="85">
        <v>0</v>
      </c>
      <c r="AU74" s="70"/>
      <c r="AV74" s="70"/>
      <c r="AW74" s="70"/>
      <c r="AZ74" s="65" t="s">
        <v>431</v>
      </c>
      <c r="BA74" s="85">
        <v>1</v>
      </c>
      <c r="BB74" s="85">
        <v>0</v>
      </c>
      <c r="BC74" s="85">
        <v>0</v>
      </c>
      <c r="BD74" s="85">
        <v>0</v>
      </c>
      <c r="BF74" s="70"/>
      <c r="BG74" s="70"/>
      <c r="BH74" s="70"/>
      <c r="BI74" s="70"/>
    </row>
    <row r="75" spans="1:61" x14ac:dyDescent="0.3">
      <c r="A75" s="371"/>
      <c r="B75" s="371"/>
      <c r="D75" s="65" t="s">
        <v>324</v>
      </c>
      <c r="E75" s="37">
        <v>1</v>
      </c>
      <c r="F75" s="37">
        <v>1</v>
      </c>
      <c r="G75" s="37">
        <v>0</v>
      </c>
      <c r="I75" s="65" t="s">
        <v>324</v>
      </c>
      <c r="J75" s="37">
        <v>0</v>
      </c>
      <c r="K75" s="37">
        <v>0</v>
      </c>
      <c r="L75" s="37">
        <v>0</v>
      </c>
      <c r="M75" s="37">
        <v>0</v>
      </c>
      <c r="N75" s="37">
        <v>0</v>
      </c>
      <c r="O75" s="37">
        <v>1</v>
      </c>
      <c r="S75" s="37">
        <v>1</v>
      </c>
      <c r="T75" s="37">
        <v>0</v>
      </c>
      <c r="U75" s="37">
        <v>0</v>
      </c>
      <c r="AO75" s="65" t="s">
        <v>318</v>
      </c>
      <c r="AP75" s="37">
        <v>1</v>
      </c>
      <c r="AQ75" s="37">
        <v>0</v>
      </c>
      <c r="AR75" s="85">
        <v>0</v>
      </c>
      <c r="AU75" s="70"/>
      <c r="AV75" s="70"/>
      <c r="AW75" s="70"/>
      <c r="AZ75" s="65" t="s">
        <v>318</v>
      </c>
      <c r="BA75" s="85">
        <v>1</v>
      </c>
      <c r="BB75" s="85">
        <v>0</v>
      </c>
      <c r="BC75" s="85">
        <v>0</v>
      </c>
      <c r="BD75" s="85">
        <v>0</v>
      </c>
      <c r="BF75" s="70"/>
      <c r="BG75" s="70"/>
      <c r="BH75" s="70"/>
      <c r="BI75" s="70"/>
    </row>
    <row r="76" spans="1:61" x14ac:dyDescent="0.3">
      <c r="A76" s="371"/>
      <c r="B76" s="371"/>
      <c r="D76" s="65" t="s">
        <v>431</v>
      </c>
      <c r="E76" s="37">
        <v>1</v>
      </c>
      <c r="F76" s="37">
        <v>1</v>
      </c>
      <c r="G76" s="37">
        <v>1</v>
      </c>
      <c r="I76" s="65" t="s">
        <v>431</v>
      </c>
      <c r="J76" s="37">
        <v>0</v>
      </c>
      <c r="K76" s="37">
        <v>0</v>
      </c>
      <c r="L76" s="37">
        <v>0</v>
      </c>
      <c r="M76" s="37">
        <v>0</v>
      </c>
      <c r="N76" s="37">
        <v>0</v>
      </c>
      <c r="O76" s="37">
        <v>1</v>
      </c>
      <c r="S76" s="37">
        <v>1</v>
      </c>
      <c r="T76" s="37">
        <v>0</v>
      </c>
      <c r="U76" s="37">
        <v>0</v>
      </c>
      <c r="W76" s="373" t="s">
        <v>421</v>
      </c>
      <c r="X76" s="373"/>
      <c r="Y76" s="373"/>
      <c r="Z76" s="373"/>
      <c r="AA76" s="373"/>
      <c r="AB76" s="373"/>
      <c r="AC76" s="373"/>
      <c r="AD76" s="373"/>
      <c r="AE76" s="373"/>
      <c r="AF76" s="373"/>
      <c r="AG76" s="373"/>
      <c r="AH76" s="373"/>
      <c r="AI76" s="373"/>
      <c r="AJ76" s="373"/>
      <c r="AK76" s="373"/>
      <c r="AL76" s="373"/>
      <c r="AO76" s="65" t="s">
        <v>314</v>
      </c>
      <c r="AP76" s="37">
        <v>1</v>
      </c>
      <c r="AQ76" s="37">
        <v>0</v>
      </c>
      <c r="AR76" s="37">
        <v>0</v>
      </c>
      <c r="AU76" s="70"/>
      <c r="AV76" s="70"/>
      <c r="AW76" s="70"/>
      <c r="AZ76" s="65" t="s">
        <v>314</v>
      </c>
      <c r="BA76" s="37">
        <v>1</v>
      </c>
      <c r="BB76" s="37">
        <v>0</v>
      </c>
      <c r="BC76" s="37">
        <v>0</v>
      </c>
      <c r="BD76" s="37">
        <v>0</v>
      </c>
      <c r="BF76" s="70"/>
      <c r="BG76" s="70"/>
      <c r="BH76" s="70"/>
      <c r="BI76" s="70"/>
    </row>
    <row r="77" spans="1:61" x14ac:dyDescent="0.3">
      <c r="A77" s="371"/>
      <c r="B77" s="371"/>
      <c r="D77" s="65" t="s">
        <v>318</v>
      </c>
      <c r="E77" s="37">
        <v>1</v>
      </c>
      <c r="F77" s="37">
        <v>1</v>
      </c>
      <c r="G77" s="37">
        <v>1</v>
      </c>
      <c r="I77" s="65" t="s">
        <v>318</v>
      </c>
      <c r="J77" s="37">
        <v>0</v>
      </c>
      <c r="K77" s="37">
        <v>0</v>
      </c>
      <c r="L77" s="37">
        <v>0</v>
      </c>
      <c r="M77" s="37">
        <v>0</v>
      </c>
      <c r="N77" s="37">
        <v>0</v>
      </c>
      <c r="O77" s="37">
        <v>1</v>
      </c>
      <c r="S77" s="37">
        <v>1</v>
      </c>
      <c r="T77" s="37">
        <v>0</v>
      </c>
      <c r="U77" s="37">
        <v>0</v>
      </c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O77" s="65" t="s">
        <v>313</v>
      </c>
      <c r="AP77" s="37">
        <v>1</v>
      </c>
      <c r="AQ77" s="37">
        <v>0</v>
      </c>
      <c r="AR77" s="37">
        <v>0</v>
      </c>
      <c r="AU77" s="76"/>
      <c r="AV77" s="76"/>
      <c r="AW77" s="76"/>
      <c r="AZ77" s="65" t="s">
        <v>313</v>
      </c>
      <c r="BA77" s="37">
        <v>1</v>
      </c>
      <c r="BB77" s="37">
        <v>0</v>
      </c>
      <c r="BC77" s="37">
        <v>0</v>
      </c>
      <c r="BD77" s="37">
        <v>0</v>
      </c>
      <c r="BF77" s="70"/>
      <c r="BG77" s="70"/>
      <c r="BH77" s="70"/>
      <c r="BI77" s="70"/>
    </row>
    <row r="78" spans="1:61" x14ac:dyDescent="0.3">
      <c r="A78" s="372" t="s">
        <v>438</v>
      </c>
      <c r="B78" s="372"/>
      <c r="D78" s="65" t="s">
        <v>314</v>
      </c>
      <c r="E78" s="37">
        <v>1</v>
      </c>
      <c r="F78" s="37">
        <v>1</v>
      </c>
      <c r="G78" s="37">
        <v>1</v>
      </c>
      <c r="I78" s="65" t="s">
        <v>314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1</v>
      </c>
      <c r="S78" s="37">
        <v>1</v>
      </c>
      <c r="T78" s="37">
        <v>0</v>
      </c>
      <c r="U78" s="37">
        <v>0</v>
      </c>
      <c r="W78" s="72"/>
      <c r="X78" s="72" t="s">
        <v>12</v>
      </c>
      <c r="Y78" s="72" t="s">
        <v>11</v>
      </c>
      <c r="Z78" s="72" t="s">
        <v>10</v>
      </c>
      <c r="AA78" s="72" t="s">
        <v>192</v>
      </c>
      <c r="AB78" s="72" t="s">
        <v>9</v>
      </c>
      <c r="AC78" s="72" t="s">
        <v>15</v>
      </c>
      <c r="AD78" s="72" t="s">
        <v>14</v>
      </c>
      <c r="AE78" s="72" t="s">
        <v>13</v>
      </c>
      <c r="AF78" s="72" t="s">
        <v>16</v>
      </c>
      <c r="AG78" s="46" t="s">
        <v>230</v>
      </c>
      <c r="AH78" s="46" t="s">
        <v>230</v>
      </c>
      <c r="AI78" s="46" t="s">
        <v>230</v>
      </c>
      <c r="AJ78" s="72" t="s">
        <v>226</v>
      </c>
      <c r="AK78" s="72" t="s">
        <v>227</v>
      </c>
      <c r="AL78" s="72" t="s">
        <v>228</v>
      </c>
      <c r="AO78" s="65" t="s">
        <v>312</v>
      </c>
      <c r="AP78" s="37">
        <v>1</v>
      </c>
      <c r="AQ78" s="37">
        <v>0</v>
      </c>
      <c r="AR78" s="37">
        <v>0</v>
      </c>
      <c r="AZ78" s="65" t="s">
        <v>312</v>
      </c>
      <c r="BA78" s="37">
        <v>1</v>
      </c>
      <c r="BB78" s="37">
        <v>0</v>
      </c>
      <c r="BC78" s="37">
        <v>0</v>
      </c>
      <c r="BD78" s="37">
        <v>0</v>
      </c>
    </row>
    <row r="79" spans="1:61" x14ac:dyDescent="0.3">
      <c r="A79" s="372"/>
      <c r="B79" s="372"/>
      <c r="D79" s="65" t="s">
        <v>313</v>
      </c>
      <c r="E79" s="37">
        <v>1</v>
      </c>
      <c r="F79" s="37">
        <v>1</v>
      </c>
      <c r="G79" s="37">
        <v>1</v>
      </c>
      <c r="I79" s="65" t="s">
        <v>313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1</v>
      </c>
      <c r="S79" s="37">
        <v>1</v>
      </c>
      <c r="T79" s="37">
        <v>0</v>
      </c>
      <c r="U79" s="37">
        <v>0</v>
      </c>
      <c r="W79" s="72">
        <v>1</v>
      </c>
      <c r="X79" s="70"/>
      <c r="Y79" s="70"/>
      <c r="Z79" s="70"/>
      <c r="AA79" s="70"/>
      <c r="AB79" s="70"/>
      <c r="AC79" s="70"/>
      <c r="AD79" s="70"/>
      <c r="AE79" s="70"/>
      <c r="AF79" s="70"/>
      <c r="AG79" s="46"/>
      <c r="AH79" s="46"/>
      <c r="AI79" s="46"/>
      <c r="AJ79" s="70"/>
      <c r="AK79" s="70"/>
      <c r="AL79" s="70"/>
      <c r="AO79" s="65" t="s">
        <v>316</v>
      </c>
      <c r="AP79" s="37">
        <v>1</v>
      </c>
      <c r="AQ79" s="37">
        <v>0</v>
      </c>
      <c r="AR79" s="37">
        <v>0</v>
      </c>
      <c r="AV79" s="76" t="s">
        <v>426</v>
      </c>
      <c r="AZ79" s="65" t="s">
        <v>316</v>
      </c>
      <c r="BA79" s="37">
        <v>1</v>
      </c>
      <c r="BB79" s="37">
        <v>0</v>
      </c>
      <c r="BC79" s="37">
        <v>0</v>
      </c>
      <c r="BD79" s="37">
        <v>0</v>
      </c>
      <c r="BG79" s="374" t="s">
        <v>426</v>
      </c>
      <c r="BH79" s="344"/>
    </row>
    <row r="80" spans="1:61" x14ac:dyDescent="0.3">
      <c r="A80" s="372"/>
      <c r="B80" s="372"/>
      <c r="D80" s="65" t="s">
        <v>312</v>
      </c>
      <c r="E80" s="37">
        <v>1</v>
      </c>
      <c r="F80" s="37">
        <v>1</v>
      </c>
      <c r="G80" s="37">
        <v>1</v>
      </c>
      <c r="I80" s="65" t="s">
        <v>312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1</v>
      </c>
      <c r="S80" s="37">
        <v>1</v>
      </c>
      <c r="T80" s="37">
        <v>0</v>
      </c>
      <c r="U80" s="37">
        <v>0</v>
      </c>
      <c r="W80" s="71"/>
      <c r="X80" s="73"/>
      <c r="Y80" s="73"/>
      <c r="Z80" s="73"/>
      <c r="AA80" s="73"/>
      <c r="AB80" s="73"/>
      <c r="AC80" s="73"/>
      <c r="AD80" s="73"/>
      <c r="AE80" s="73"/>
      <c r="AF80" s="73"/>
      <c r="AG80" s="75"/>
      <c r="AH80" s="75"/>
      <c r="AI80" s="75"/>
      <c r="AJ80" s="73"/>
      <c r="AK80" s="73"/>
      <c r="AL80" s="73"/>
      <c r="AO80" s="65" t="s">
        <v>315</v>
      </c>
      <c r="AP80" s="37">
        <v>1</v>
      </c>
      <c r="AQ80" s="37">
        <v>0</v>
      </c>
      <c r="AR80" s="37">
        <v>0</v>
      </c>
      <c r="AU80" s="72" t="s">
        <v>17</v>
      </c>
      <c r="AV80" s="72" t="s">
        <v>18</v>
      </c>
      <c r="AW80" s="72" t="s">
        <v>19</v>
      </c>
      <c r="AZ80" s="65" t="s">
        <v>315</v>
      </c>
      <c r="BA80" s="37">
        <v>1</v>
      </c>
      <c r="BB80" s="37">
        <v>0</v>
      </c>
      <c r="BC80" s="37">
        <v>0</v>
      </c>
      <c r="BD80" s="37">
        <v>0</v>
      </c>
      <c r="BF80" s="72" t="s">
        <v>336</v>
      </c>
      <c r="BG80" s="72" t="s">
        <v>337</v>
      </c>
      <c r="BH80" s="72" t="s">
        <v>338</v>
      </c>
      <c r="BI80" s="72" t="s">
        <v>339</v>
      </c>
    </row>
    <row r="81" spans="1:61" x14ac:dyDescent="0.3">
      <c r="A81" s="372"/>
      <c r="B81" s="372"/>
      <c r="D81" s="65" t="s">
        <v>316</v>
      </c>
      <c r="E81" s="37">
        <v>1</v>
      </c>
      <c r="F81" s="37">
        <v>1</v>
      </c>
      <c r="G81" s="37">
        <v>0</v>
      </c>
      <c r="I81" s="65" t="s">
        <v>316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1</v>
      </c>
      <c r="S81" s="37">
        <v>1</v>
      </c>
      <c r="T81" s="37">
        <v>0</v>
      </c>
      <c r="U81" s="37">
        <v>0</v>
      </c>
      <c r="W81" s="72"/>
      <c r="X81" s="74"/>
      <c r="Y81" s="74"/>
      <c r="Z81" s="74"/>
      <c r="AA81" s="74"/>
      <c r="AB81" s="74"/>
      <c r="AC81" s="74"/>
      <c r="AD81" s="74"/>
      <c r="AE81" s="74"/>
      <c r="AF81" s="74"/>
      <c r="AG81" s="46"/>
      <c r="AH81" s="46"/>
      <c r="AI81" s="46"/>
      <c r="AJ81" s="74"/>
      <c r="AK81" s="74"/>
      <c r="AL81" s="74"/>
      <c r="AO81" s="65" t="s">
        <v>311</v>
      </c>
      <c r="AP81" s="37">
        <v>1</v>
      </c>
      <c r="AQ81" s="37">
        <v>0</v>
      </c>
      <c r="AR81" s="37">
        <v>0</v>
      </c>
      <c r="AU81" s="70"/>
      <c r="AV81" s="70"/>
      <c r="AW81" s="70"/>
      <c r="AZ81" s="65" t="s">
        <v>311</v>
      </c>
      <c r="BA81" s="37">
        <v>1</v>
      </c>
      <c r="BB81" s="37">
        <v>0</v>
      </c>
      <c r="BC81" s="37">
        <v>0</v>
      </c>
      <c r="BD81" s="37">
        <v>0</v>
      </c>
      <c r="BF81" s="70"/>
      <c r="BG81" s="70"/>
      <c r="BH81" s="70"/>
      <c r="BI81" s="70"/>
    </row>
    <row r="82" spans="1:61" x14ac:dyDescent="0.3">
      <c r="A82" s="372"/>
      <c r="B82" s="372"/>
      <c r="D82" s="65" t="s">
        <v>315</v>
      </c>
      <c r="E82" s="37">
        <v>1</v>
      </c>
      <c r="F82" s="37">
        <v>1</v>
      </c>
      <c r="G82" s="37">
        <v>1</v>
      </c>
      <c r="I82" s="65" t="s">
        <v>315</v>
      </c>
      <c r="J82" s="37">
        <v>0</v>
      </c>
      <c r="K82" s="37">
        <v>0</v>
      </c>
      <c r="L82" s="37">
        <v>0</v>
      </c>
      <c r="M82" s="37">
        <v>0</v>
      </c>
      <c r="N82" s="37">
        <v>0</v>
      </c>
      <c r="O82" s="37">
        <v>1</v>
      </c>
      <c r="S82" s="37">
        <v>1</v>
      </c>
      <c r="T82" s="37">
        <v>0</v>
      </c>
      <c r="U82" s="37">
        <v>0</v>
      </c>
      <c r="W82" s="72">
        <v>2</v>
      </c>
      <c r="X82" s="70"/>
      <c r="Y82" s="70"/>
      <c r="Z82" s="70"/>
      <c r="AA82" s="70"/>
      <c r="AB82" s="70"/>
      <c r="AC82" s="70"/>
      <c r="AD82" s="70"/>
      <c r="AE82" s="70"/>
      <c r="AF82" s="70"/>
      <c r="AG82" s="46"/>
      <c r="AH82" s="46"/>
      <c r="AI82" s="46"/>
      <c r="AJ82" s="70"/>
      <c r="AK82" s="70"/>
      <c r="AL82" s="70"/>
      <c r="AO82" s="65" t="s">
        <v>394</v>
      </c>
      <c r="AP82" s="37">
        <v>0</v>
      </c>
      <c r="AQ82" s="37">
        <v>0</v>
      </c>
      <c r="AR82" s="37">
        <v>0</v>
      </c>
      <c r="AU82" s="73"/>
      <c r="AV82" s="73"/>
      <c r="AW82" s="73"/>
      <c r="AZ82" s="65" t="s">
        <v>394</v>
      </c>
      <c r="BA82" s="37">
        <v>0</v>
      </c>
      <c r="BB82" s="37">
        <v>0</v>
      </c>
      <c r="BC82" s="37">
        <v>0</v>
      </c>
      <c r="BD82" s="37">
        <v>0</v>
      </c>
      <c r="BF82" s="73"/>
      <c r="BG82" s="73"/>
      <c r="BH82" s="73"/>
      <c r="BI82" s="73"/>
    </row>
    <row r="83" spans="1:61" x14ac:dyDescent="0.3">
      <c r="A83" s="372"/>
      <c r="B83" s="372"/>
      <c r="D83" s="65" t="s">
        <v>311</v>
      </c>
      <c r="E83" s="37">
        <v>1</v>
      </c>
      <c r="F83" s="37">
        <v>1</v>
      </c>
      <c r="G83" s="37">
        <v>1</v>
      </c>
      <c r="I83" s="65" t="s">
        <v>311</v>
      </c>
      <c r="J83" s="37">
        <v>0</v>
      </c>
      <c r="K83" s="37">
        <v>0</v>
      </c>
      <c r="L83" s="37">
        <v>0</v>
      </c>
      <c r="M83" s="37">
        <v>0</v>
      </c>
      <c r="N83" s="37">
        <v>0</v>
      </c>
      <c r="O83" s="37">
        <v>1</v>
      </c>
      <c r="S83" s="37">
        <v>1</v>
      </c>
      <c r="T83" s="37">
        <v>0</v>
      </c>
      <c r="U83" s="37">
        <v>0</v>
      </c>
      <c r="W83" s="72"/>
      <c r="X83" s="70"/>
      <c r="Y83" s="70"/>
      <c r="Z83" s="70"/>
      <c r="AA83" s="70"/>
      <c r="AB83" s="70"/>
      <c r="AC83" s="70"/>
      <c r="AD83" s="70"/>
      <c r="AE83" s="70"/>
      <c r="AF83" s="70"/>
      <c r="AG83" s="46"/>
      <c r="AH83" s="46"/>
      <c r="AI83" s="46"/>
      <c r="AJ83" s="70"/>
      <c r="AK83" s="70"/>
      <c r="AL83" s="70"/>
      <c r="AO83" s="65" t="s">
        <v>404</v>
      </c>
      <c r="AP83" s="37">
        <v>1</v>
      </c>
      <c r="AQ83" s="37">
        <v>0</v>
      </c>
      <c r="AR83" s="37">
        <v>0</v>
      </c>
      <c r="AU83" s="70"/>
      <c r="AV83" s="70"/>
      <c r="AW83" s="70"/>
      <c r="AZ83" s="65" t="s">
        <v>404</v>
      </c>
      <c r="BA83" s="37">
        <v>0</v>
      </c>
      <c r="BB83" s="37">
        <v>0</v>
      </c>
      <c r="BC83" s="37">
        <v>1</v>
      </c>
      <c r="BD83" s="37">
        <v>0</v>
      </c>
      <c r="BF83" s="70"/>
      <c r="BG83" s="70"/>
      <c r="BH83" s="70"/>
      <c r="BI83" s="70"/>
    </row>
    <row r="84" spans="1:61" x14ac:dyDescent="0.3">
      <c r="A84" s="371" t="s">
        <v>439</v>
      </c>
      <c r="B84" s="371"/>
      <c r="D84" s="65" t="s">
        <v>394</v>
      </c>
      <c r="E84" s="37">
        <v>0</v>
      </c>
      <c r="F84" s="37">
        <v>0</v>
      </c>
      <c r="G84" s="37">
        <v>0</v>
      </c>
      <c r="I84" s="65" t="s">
        <v>394</v>
      </c>
      <c r="J84" s="37">
        <v>0</v>
      </c>
      <c r="K84" s="37">
        <v>0</v>
      </c>
      <c r="L84" s="37">
        <v>0</v>
      </c>
      <c r="M84" s="37">
        <v>0</v>
      </c>
      <c r="N84" s="37">
        <v>0</v>
      </c>
      <c r="O84" s="37">
        <v>0</v>
      </c>
      <c r="S84" s="37">
        <v>0</v>
      </c>
      <c r="T84" s="37">
        <v>0</v>
      </c>
      <c r="U84" s="37">
        <v>0</v>
      </c>
      <c r="W84" s="72"/>
      <c r="X84" s="74"/>
      <c r="Y84" s="74"/>
      <c r="Z84" s="74"/>
      <c r="AA84" s="74"/>
      <c r="AB84" s="74"/>
      <c r="AC84" s="74"/>
      <c r="AD84" s="74"/>
      <c r="AE84" s="74"/>
      <c r="AF84" s="74"/>
      <c r="AG84" s="46"/>
      <c r="AH84" s="46"/>
      <c r="AI84" s="46"/>
      <c r="AJ84" s="74"/>
      <c r="AK84" s="74"/>
      <c r="AL84" s="74"/>
      <c r="AO84" s="65" t="s">
        <v>405</v>
      </c>
      <c r="AP84" s="37">
        <v>1</v>
      </c>
      <c r="AQ84" s="37">
        <v>0</v>
      </c>
      <c r="AR84" s="37">
        <v>0</v>
      </c>
      <c r="AU84" s="70"/>
      <c r="AV84" s="70"/>
      <c r="AW84" s="70"/>
      <c r="AZ84" s="65" t="s">
        <v>405</v>
      </c>
      <c r="BA84" s="37">
        <v>0</v>
      </c>
      <c r="BB84" s="37">
        <v>0</v>
      </c>
      <c r="BC84" s="37">
        <v>1</v>
      </c>
      <c r="BD84" s="37">
        <v>0</v>
      </c>
      <c r="BF84" s="70"/>
      <c r="BG84" s="70"/>
      <c r="BH84" s="70"/>
      <c r="BI84" s="70"/>
    </row>
    <row r="85" spans="1:61" x14ac:dyDescent="0.3">
      <c r="A85" s="371"/>
      <c r="B85" s="371"/>
      <c r="D85" s="65" t="s">
        <v>404</v>
      </c>
      <c r="E85" s="37">
        <v>1</v>
      </c>
      <c r="F85" s="37">
        <v>1</v>
      </c>
      <c r="G85" s="37">
        <v>1</v>
      </c>
      <c r="I85" s="65" t="s">
        <v>404</v>
      </c>
      <c r="J85" s="37">
        <v>0</v>
      </c>
      <c r="K85" s="37">
        <v>0</v>
      </c>
      <c r="L85" s="37">
        <v>0</v>
      </c>
      <c r="M85" s="37">
        <v>0</v>
      </c>
      <c r="N85" s="37">
        <v>0</v>
      </c>
      <c r="O85" s="37">
        <v>0</v>
      </c>
      <c r="S85" s="37">
        <v>1</v>
      </c>
      <c r="T85" s="37">
        <v>0</v>
      </c>
      <c r="U85" s="37">
        <v>0</v>
      </c>
      <c r="W85" s="72">
        <v>3</v>
      </c>
      <c r="X85" s="70"/>
      <c r="Y85" s="70"/>
      <c r="Z85" s="70"/>
      <c r="AA85" s="70"/>
      <c r="AB85" s="70"/>
      <c r="AC85" s="70"/>
      <c r="AD85" s="70"/>
      <c r="AE85" s="70"/>
      <c r="AF85" s="70"/>
      <c r="AG85" s="46"/>
      <c r="AH85" s="46"/>
      <c r="AI85" s="46"/>
      <c r="AJ85" s="70"/>
      <c r="AK85" s="70"/>
      <c r="AL85" s="70"/>
      <c r="AO85" s="65" t="s">
        <v>395</v>
      </c>
      <c r="AP85" s="37">
        <v>1</v>
      </c>
      <c r="AQ85" s="37">
        <v>0</v>
      </c>
      <c r="AR85" s="37">
        <v>0</v>
      </c>
      <c r="AU85" s="70"/>
      <c r="AV85" s="70"/>
      <c r="AW85" s="70"/>
      <c r="AZ85" s="65" t="s">
        <v>395</v>
      </c>
      <c r="BA85" s="37">
        <v>0</v>
      </c>
      <c r="BB85" s="37">
        <v>0</v>
      </c>
      <c r="BC85" s="37">
        <v>1</v>
      </c>
      <c r="BD85" s="37">
        <v>0</v>
      </c>
      <c r="BF85" s="70"/>
      <c r="BG85" s="70"/>
      <c r="BH85" s="70"/>
      <c r="BI85" s="70"/>
    </row>
    <row r="86" spans="1:61" x14ac:dyDescent="0.3">
      <c r="A86" s="371"/>
      <c r="B86" s="371"/>
      <c r="D86" s="65" t="s">
        <v>405</v>
      </c>
      <c r="E86" s="37">
        <v>1</v>
      </c>
      <c r="F86" s="37">
        <v>1</v>
      </c>
      <c r="G86" s="37">
        <v>1</v>
      </c>
      <c r="I86" s="65" t="s">
        <v>405</v>
      </c>
      <c r="J86" s="37">
        <v>0</v>
      </c>
      <c r="K86" s="37">
        <v>0</v>
      </c>
      <c r="L86" s="37">
        <v>0</v>
      </c>
      <c r="M86" s="37">
        <v>0</v>
      </c>
      <c r="N86" s="37">
        <v>0</v>
      </c>
      <c r="O86" s="37">
        <v>0</v>
      </c>
      <c r="S86" s="37">
        <v>1</v>
      </c>
      <c r="T86" s="37">
        <v>0</v>
      </c>
      <c r="U86" s="37">
        <v>0</v>
      </c>
      <c r="W86" s="72"/>
      <c r="X86" s="70"/>
      <c r="Y86" s="70"/>
      <c r="Z86" s="70"/>
      <c r="AA86" s="70"/>
      <c r="AB86" s="70"/>
      <c r="AC86" s="70"/>
      <c r="AD86" s="70"/>
      <c r="AE86" s="70"/>
      <c r="AF86" s="70"/>
      <c r="AG86" s="46"/>
      <c r="AH86" s="46"/>
      <c r="AI86" s="46"/>
      <c r="AJ86" s="70"/>
      <c r="AK86" s="70"/>
      <c r="AL86" s="70"/>
      <c r="AO86" s="65" t="s">
        <v>406</v>
      </c>
      <c r="AP86" s="37">
        <v>1</v>
      </c>
      <c r="AQ86" s="37">
        <v>0</v>
      </c>
      <c r="AR86" s="37">
        <v>0</v>
      </c>
      <c r="AU86" s="70"/>
      <c r="AV86" s="70"/>
      <c r="AW86" s="70"/>
      <c r="AZ86" s="65" t="s">
        <v>406</v>
      </c>
      <c r="BA86" s="37">
        <v>0</v>
      </c>
      <c r="BB86" s="37">
        <v>0</v>
      </c>
      <c r="BC86" s="37">
        <v>1</v>
      </c>
      <c r="BD86" s="37">
        <v>0</v>
      </c>
      <c r="BF86" s="70"/>
      <c r="BG86" s="70"/>
      <c r="BH86" s="70"/>
      <c r="BI86" s="70"/>
    </row>
    <row r="87" spans="1:61" x14ac:dyDescent="0.3">
      <c r="A87" s="371"/>
      <c r="B87" s="371"/>
      <c r="D87" s="65" t="s">
        <v>395</v>
      </c>
      <c r="E87" s="37">
        <v>1</v>
      </c>
      <c r="F87" s="37">
        <v>1</v>
      </c>
      <c r="G87" s="37">
        <v>1</v>
      </c>
      <c r="I87" s="65" t="s">
        <v>395</v>
      </c>
      <c r="J87" s="37">
        <v>0</v>
      </c>
      <c r="K87" s="37">
        <v>0</v>
      </c>
      <c r="L87" s="37">
        <v>0</v>
      </c>
      <c r="M87" s="37">
        <v>0</v>
      </c>
      <c r="N87" s="37">
        <v>0</v>
      </c>
      <c r="O87" s="37">
        <v>0</v>
      </c>
      <c r="S87" s="37">
        <v>1</v>
      </c>
      <c r="T87" s="37">
        <v>0</v>
      </c>
      <c r="U87" s="37">
        <v>0</v>
      </c>
      <c r="W87" s="72"/>
      <c r="X87" s="74"/>
      <c r="Y87" s="74"/>
      <c r="Z87" s="74"/>
      <c r="AA87" s="74"/>
      <c r="AB87" s="74"/>
      <c r="AC87" s="74"/>
      <c r="AD87" s="74"/>
      <c r="AE87" s="74"/>
      <c r="AF87" s="74"/>
      <c r="AG87" s="46"/>
      <c r="AH87" s="46"/>
      <c r="AI87" s="46"/>
      <c r="AJ87" s="74"/>
      <c r="AK87" s="74"/>
      <c r="AL87" s="74"/>
      <c r="AO87" s="65" t="s">
        <v>396</v>
      </c>
      <c r="AP87" s="37">
        <v>1</v>
      </c>
      <c r="AQ87" s="37">
        <v>0</v>
      </c>
      <c r="AR87" s="37">
        <v>0</v>
      </c>
      <c r="AU87" s="70"/>
      <c r="AV87" s="70"/>
      <c r="AW87" s="70"/>
      <c r="AZ87" s="65" t="s">
        <v>396</v>
      </c>
      <c r="BA87" s="37">
        <v>1</v>
      </c>
      <c r="BB87" s="37">
        <v>0</v>
      </c>
      <c r="BC87" s="37">
        <v>0</v>
      </c>
      <c r="BD87" s="37">
        <v>0</v>
      </c>
      <c r="BF87" s="70"/>
      <c r="BG87" s="70"/>
      <c r="BH87" s="70"/>
      <c r="BI87" s="70"/>
    </row>
    <row r="88" spans="1:61" x14ac:dyDescent="0.3">
      <c r="A88" s="371"/>
      <c r="B88" s="371"/>
      <c r="D88" s="65" t="s">
        <v>406</v>
      </c>
      <c r="E88" s="37">
        <v>1</v>
      </c>
      <c r="F88" s="37">
        <v>1</v>
      </c>
      <c r="G88" s="37">
        <v>0</v>
      </c>
      <c r="I88" s="65" t="s">
        <v>406</v>
      </c>
      <c r="J88" s="37">
        <v>0</v>
      </c>
      <c r="K88" s="37">
        <v>0</v>
      </c>
      <c r="L88" s="37">
        <v>0</v>
      </c>
      <c r="M88" s="37">
        <v>0</v>
      </c>
      <c r="N88" s="37">
        <v>0</v>
      </c>
      <c r="O88" s="37">
        <v>0</v>
      </c>
      <c r="S88" s="37">
        <v>1</v>
      </c>
      <c r="T88" s="37">
        <v>0</v>
      </c>
      <c r="U88" s="37">
        <v>0</v>
      </c>
      <c r="W88" s="72">
        <v>4</v>
      </c>
      <c r="X88" s="70"/>
      <c r="Y88" s="70"/>
      <c r="Z88" s="70"/>
      <c r="AA88" s="70"/>
      <c r="AB88" s="70"/>
      <c r="AC88" s="70"/>
      <c r="AD88" s="70"/>
      <c r="AE88" s="70"/>
      <c r="AF88" s="70"/>
      <c r="AG88" s="46"/>
      <c r="AH88" s="46"/>
      <c r="AI88" s="46"/>
      <c r="AJ88" s="70"/>
      <c r="AK88" s="70"/>
      <c r="AL88" s="70"/>
      <c r="AO88" s="65" t="s">
        <v>399</v>
      </c>
      <c r="AP88" s="37">
        <v>1</v>
      </c>
      <c r="AQ88" s="37">
        <v>0</v>
      </c>
      <c r="AR88" s="37">
        <v>0</v>
      </c>
      <c r="AU88" s="70"/>
      <c r="AV88" s="70"/>
      <c r="AW88" s="70"/>
      <c r="AZ88" s="65" t="s">
        <v>399</v>
      </c>
      <c r="BA88" s="37">
        <v>0</v>
      </c>
      <c r="BB88" s="37">
        <v>0</v>
      </c>
      <c r="BC88" s="37">
        <v>1</v>
      </c>
      <c r="BD88" s="37">
        <v>0</v>
      </c>
      <c r="BF88" s="70"/>
      <c r="BG88" s="70"/>
      <c r="BH88" s="70"/>
      <c r="BI88" s="70"/>
    </row>
    <row r="89" spans="1:61" x14ac:dyDescent="0.3">
      <c r="A89" s="371"/>
      <c r="B89" s="371"/>
      <c r="D89" s="65" t="s">
        <v>396</v>
      </c>
      <c r="E89" s="37">
        <v>1</v>
      </c>
      <c r="F89" s="37">
        <v>0</v>
      </c>
      <c r="G89" s="37">
        <v>0</v>
      </c>
      <c r="I89" s="65" t="s">
        <v>396</v>
      </c>
      <c r="J89" s="37">
        <v>0</v>
      </c>
      <c r="K89" s="37">
        <v>0</v>
      </c>
      <c r="L89" s="37">
        <v>0</v>
      </c>
      <c r="M89" s="37">
        <v>0</v>
      </c>
      <c r="N89" s="37">
        <v>0</v>
      </c>
      <c r="O89" s="37">
        <v>0</v>
      </c>
      <c r="S89" s="37">
        <v>1</v>
      </c>
      <c r="T89" s="37">
        <v>0</v>
      </c>
      <c r="U89" s="37">
        <v>0</v>
      </c>
      <c r="W89" s="72"/>
      <c r="X89" s="70"/>
      <c r="Y89" s="70"/>
      <c r="Z89" s="70"/>
      <c r="AA89" s="70"/>
      <c r="AB89" s="70"/>
      <c r="AC89" s="70"/>
      <c r="AD89" s="70"/>
      <c r="AE89" s="70"/>
      <c r="AF89" s="70"/>
      <c r="AG89" s="46"/>
      <c r="AH89" s="46"/>
      <c r="AI89" s="46"/>
      <c r="AJ89" s="70"/>
      <c r="AK89" s="70"/>
      <c r="AL89" s="70"/>
      <c r="AO89" s="65" t="s">
        <v>400</v>
      </c>
      <c r="AP89" s="37">
        <v>1</v>
      </c>
      <c r="AQ89" s="37">
        <v>0</v>
      </c>
      <c r="AR89" s="37">
        <v>0</v>
      </c>
      <c r="AU89" s="70"/>
      <c r="AV89" s="70"/>
      <c r="AW89" s="70"/>
      <c r="AZ89" s="65" t="s">
        <v>400</v>
      </c>
      <c r="BA89" s="37">
        <v>0</v>
      </c>
      <c r="BB89" s="37">
        <v>0</v>
      </c>
      <c r="BC89" s="37">
        <v>1</v>
      </c>
      <c r="BD89" s="37">
        <v>0</v>
      </c>
      <c r="BF89" s="70"/>
      <c r="BG89" s="70"/>
      <c r="BH89" s="70"/>
      <c r="BI89" s="70"/>
    </row>
    <row r="90" spans="1:61" x14ac:dyDescent="0.3">
      <c r="A90" s="371"/>
      <c r="B90" s="371"/>
      <c r="D90" s="65" t="s">
        <v>399</v>
      </c>
      <c r="E90" s="37">
        <v>1</v>
      </c>
      <c r="F90" s="37">
        <v>1</v>
      </c>
      <c r="G90" s="37">
        <v>1</v>
      </c>
      <c r="I90" s="65" t="s">
        <v>399</v>
      </c>
      <c r="J90" s="37">
        <v>0</v>
      </c>
      <c r="K90" s="37">
        <v>0</v>
      </c>
      <c r="L90" s="37">
        <v>0</v>
      </c>
      <c r="M90" s="37">
        <v>0</v>
      </c>
      <c r="N90" s="37">
        <v>0</v>
      </c>
      <c r="O90" s="37">
        <v>0</v>
      </c>
      <c r="S90" s="37">
        <v>1</v>
      </c>
      <c r="T90" s="37">
        <v>0</v>
      </c>
      <c r="U90" s="37">
        <v>0</v>
      </c>
      <c r="W90" s="72"/>
      <c r="X90" s="74"/>
      <c r="Y90" s="74"/>
      <c r="Z90" s="74"/>
      <c r="AA90" s="74"/>
      <c r="AB90" s="74"/>
      <c r="AC90" s="74"/>
      <c r="AD90" s="74"/>
      <c r="AE90" s="74"/>
      <c r="AF90" s="74"/>
      <c r="AG90" s="46"/>
      <c r="AH90" s="46"/>
      <c r="AI90" s="46"/>
      <c r="AJ90" s="74"/>
      <c r="AK90" s="74"/>
      <c r="AL90" s="74"/>
      <c r="AO90" s="65" t="s">
        <v>432</v>
      </c>
      <c r="AP90" s="37">
        <v>1</v>
      </c>
      <c r="AQ90" s="37">
        <v>0</v>
      </c>
      <c r="AR90" s="37">
        <v>0</v>
      </c>
      <c r="AU90" s="70"/>
      <c r="AV90" s="70"/>
      <c r="AW90" s="70"/>
      <c r="AZ90" s="65" t="s">
        <v>432</v>
      </c>
      <c r="BA90" s="37">
        <v>0</v>
      </c>
      <c r="BB90" s="37">
        <v>0</v>
      </c>
      <c r="BC90" s="37">
        <v>1</v>
      </c>
      <c r="BD90" s="37">
        <v>0</v>
      </c>
      <c r="BF90" s="70"/>
      <c r="BG90" s="70"/>
      <c r="BH90" s="70"/>
      <c r="BI90" s="70"/>
    </row>
    <row r="91" spans="1:61" x14ac:dyDescent="0.3">
      <c r="A91" s="371"/>
      <c r="B91" s="371"/>
      <c r="D91" s="65" t="s">
        <v>400</v>
      </c>
      <c r="E91" s="37">
        <v>1</v>
      </c>
      <c r="F91" s="37">
        <v>1</v>
      </c>
      <c r="G91" s="37">
        <v>1</v>
      </c>
      <c r="I91" s="65" t="s">
        <v>400</v>
      </c>
      <c r="J91" s="37">
        <v>0</v>
      </c>
      <c r="K91" s="37">
        <v>0</v>
      </c>
      <c r="L91" s="37">
        <v>0</v>
      </c>
      <c r="M91" s="37">
        <v>0</v>
      </c>
      <c r="N91" s="37">
        <v>0</v>
      </c>
      <c r="O91" s="37">
        <v>0</v>
      </c>
      <c r="S91" s="37">
        <v>1</v>
      </c>
      <c r="T91" s="37">
        <v>0</v>
      </c>
      <c r="U91" s="37">
        <v>0</v>
      </c>
      <c r="W91" s="72">
        <v>5</v>
      </c>
      <c r="X91" s="70"/>
      <c r="Y91" s="70"/>
      <c r="Z91" s="70"/>
      <c r="AA91" s="70"/>
      <c r="AB91" s="70"/>
      <c r="AC91" s="70"/>
      <c r="AD91" s="70"/>
      <c r="AE91" s="70"/>
      <c r="AF91" s="70"/>
      <c r="AG91" s="46"/>
      <c r="AH91" s="46"/>
      <c r="AI91" s="46"/>
      <c r="AJ91" s="70"/>
      <c r="AK91" s="70"/>
      <c r="AL91" s="70"/>
      <c r="AO91" s="65" t="s">
        <v>398</v>
      </c>
      <c r="AP91" s="37">
        <v>1</v>
      </c>
      <c r="AQ91" s="37">
        <v>0</v>
      </c>
      <c r="AR91" s="37">
        <v>0</v>
      </c>
      <c r="AU91" s="70"/>
      <c r="AV91" s="70"/>
      <c r="AW91" s="70"/>
      <c r="AZ91" s="65" t="s">
        <v>398</v>
      </c>
      <c r="BA91" s="37">
        <v>0</v>
      </c>
      <c r="BB91" s="37">
        <v>0</v>
      </c>
      <c r="BC91" s="37">
        <v>1</v>
      </c>
      <c r="BD91" s="37">
        <v>0</v>
      </c>
      <c r="BF91" s="70"/>
      <c r="BG91" s="70"/>
      <c r="BH91" s="70"/>
      <c r="BI91" s="70"/>
    </row>
    <row r="92" spans="1:61" x14ac:dyDescent="0.3">
      <c r="A92" s="371"/>
      <c r="B92" s="371"/>
      <c r="D92" s="65" t="s">
        <v>432</v>
      </c>
      <c r="E92" s="37">
        <v>1</v>
      </c>
      <c r="F92" s="37">
        <v>0</v>
      </c>
      <c r="G92" s="37">
        <v>0</v>
      </c>
      <c r="I92" s="65" t="s">
        <v>432</v>
      </c>
      <c r="J92" s="37">
        <v>0</v>
      </c>
      <c r="K92" s="37">
        <v>0</v>
      </c>
      <c r="L92" s="37">
        <v>0</v>
      </c>
      <c r="M92" s="37">
        <v>0</v>
      </c>
      <c r="N92" s="37">
        <v>0</v>
      </c>
      <c r="O92" s="37">
        <v>0</v>
      </c>
      <c r="S92" s="37">
        <v>1</v>
      </c>
      <c r="T92" s="37">
        <v>0</v>
      </c>
      <c r="U92" s="37">
        <v>0</v>
      </c>
      <c r="W92" s="72"/>
      <c r="X92" s="70"/>
      <c r="Y92" s="70"/>
      <c r="Z92" s="70"/>
      <c r="AA92" s="70"/>
      <c r="AB92" s="70"/>
      <c r="AC92" s="70"/>
      <c r="AD92" s="70"/>
      <c r="AE92" s="70"/>
      <c r="AF92" s="70"/>
      <c r="AG92" s="46"/>
      <c r="AH92" s="46"/>
      <c r="AI92" s="46"/>
      <c r="AJ92" s="70"/>
      <c r="AK92" s="70"/>
      <c r="AL92" s="70"/>
      <c r="AO92" s="65" t="s">
        <v>403</v>
      </c>
      <c r="AP92" s="37">
        <v>0</v>
      </c>
      <c r="AQ92" s="37">
        <v>0</v>
      </c>
      <c r="AR92" s="37">
        <v>0</v>
      </c>
      <c r="AU92" s="70"/>
      <c r="AV92" s="70"/>
      <c r="AW92" s="70"/>
      <c r="AZ92" s="65" t="s">
        <v>403</v>
      </c>
      <c r="BA92" s="37">
        <v>0</v>
      </c>
      <c r="BB92" s="37">
        <v>0</v>
      </c>
      <c r="BC92" s="37">
        <v>0</v>
      </c>
      <c r="BD92" s="37">
        <v>0</v>
      </c>
      <c r="BF92" s="73"/>
      <c r="BG92" s="73"/>
      <c r="BH92" s="73"/>
      <c r="BI92" s="73"/>
    </row>
    <row r="93" spans="1:61" x14ac:dyDescent="0.3">
      <c r="A93" s="371"/>
      <c r="B93" s="371"/>
      <c r="D93" s="65" t="s">
        <v>398</v>
      </c>
      <c r="E93" s="37">
        <v>1</v>
      </c>
      <c r="F93" s="37">
        <v>1</v>
      </c>
      <c r="G93" s="37">
        <v>0</v>
      </c>
      <c r="I93" s="65" t="s">
        <v>398</v>
      </c>
      <c r="J93" s="37">
        <v>0</v>
      </c>
      <c r="K93" s="37">
        <v>0</v>
      </c>
      <c r="L93" s="37">
        <v>0</v>
      </c>
      <c r="M93" s="37">
        <v>0</v>
      </c>
      <c r="N93" s="37">
        <v>0</v>
      </c>
      <c r="O93" s="37">
        <v>0</v>
      </c>
      <c r="S93" s="37">
        <v>1</v>
      </c>
      <c r="T93" s="37">
        <v>0</v>
      </c>
      <c r="U93" s="37">
        <v>0</v>
      </c>
      <c r="W93" s="72"/>
      <c r="X93" s="74"/>
      <c r="Y93" s="74"/>
      <c r="Z93" s="74"/>
      <c r="AA93" s="74"/>
      <c r="AB93" s="74"/>
      <c r="AC93" s="74"/>
      <c r="AD93" s="74"/>
      <c r="AE93" s="74"/>
      <c r="AF93" s="74"/>
      <c r="AG93" s="46"/>
      <c r="AH93" s="46"/>
      <c r="AI93" s="46"/>
      <c r="AJ93" s="74"/>
      <c r="AK93" s="74"/>
      <c r="AL93" s="74"/>
      <c r="AO93" s="65" t="s">
        <v>408</v>
      </c>
      <c r="AP93" s="37">
        <v>0</v>
      </c>
      <c r="AQ93" s="37">
        <v>0</v>
      </c>
      <c r="AR93" s="37">
        <v>0</v>
      </c>
      <c r="AU93" s="70"/>
      <c r="AV93" s="70"/>
      <c r="AW93" s="70"/>
      <c r="AZ93" s="65" t="s">
        <v>408</v>
      </c>
      <c r="BA93" s="37">
        <v>1</v>
      </c>
      <c r="BB93" s="37">
        <v>0</v>
      </c>
      <c r="BC93" s="37">
        <v>0</v>
      </c>
      <c r="BD93" s="37">
        <v>0</v>
      </c>
      <c r="BF93" s="70"/>
      <c r="BG93" s="70"/>
      <c r="BH93" s="70"/>
      <c r="BI93" s="70"/>
    </row>
    <row r="94" spans="1:61" x14ac:dyDescent="0.3">
      <c r="A94" s="371"/>
      <c r="B94" s="371"/>
      <c r="D94" s="65" t="s">
        <v>403</v>
      </c>
      <c r="E94" s="37">
        <v>0</v>
      </c>
      <c r="F94" s="37">
        <v>0</v>
      </c>
      <c r="G94" s="37">
        <v>0</v>
      </c>
      <c r="I94" s="65" t="s">
        <v>403</v>
      </c>
      <c r="J94" s="37">
        <v>0</v>
      </c>
      <c r="K94" s="37">
        <v>0</v>
      </c>
      <c r="L94" s="37">
        <v>0</v>
      </c>
      <c r="M94" s="37">
        <v>0</v>
      </c>
      <c r="N94" s="37">
        <v>0</v>
      </c>
      <c r="O94" s="37">
        <v>0</v>
      </c>
      <c r="S94" s="37">
        <v>0</v>
      </c>
      <c r="T94" s="37">
        <v>0</v>
      </c>
      <c r="U94" s="37">
        <v>0</v>
      </c>
      <c r="W94" s="72">
        <v>6</v>
      </c>
      <c r="X94" s="70"/>
      <c r="Y94" s="70"/>
      <c r="Z94" s="70"/>
      <c r="AA94" s="70"/>
      <c r="AB94" s="70"/>
      <c r="AC94" s="70"/>
      <c r="AD94" s="70"/>
      <c r="AE94" s="70"/>
      <c r="AF94" s="70"/>
      <c r="AG94" s="46"/>
      <c r="AH94" s="46"/>
      <c r="AI94" s="46"/>
      <c r="AJ94" s="70"/>
      <c r="AK94" s="70"/>
      <c r="AL94" s="70"/>
      <c r="AO94" s="65" t="s">
        <v>401</v>
      </c>
      <c r="AP94" s="37">
        <v>1</v>
      </c>
      <c r="AQ94" s="37">
        <v>0</v>
      </c>
      <c r="AR94" s="37">
        <v>0</v>
      </c>
      <c r="AU94" s="70"/>
      <c r="AV94" s="70"/>
      <c r="AW94" s="70"/>
      <c r="AZ94" s="65" t="s">
        <v>401</v>
      </c>
      <c r="BA94" s="37">
        <v>0</v>
      </c>
      <c r="BB94" s="37">
        <v>0</v>
      </c>
      <c r="BC94" s="37">
        <v>1</v>
      </c>
      <c r="BD94" s="37">
        <v>0</v>
      </c>
      <c r="BF94" s="70"/>
      <c r="BG94" s="70"/>
      <c r="BH94" s="70"/>
      <c r="BI94" s="70"/>
    </row>
    <row r="95" spans="1:61" x14ac:dyDescent="0.3">
      <c r="A95" s="371"/>
      <c r="B95" s="371"/>
      <c r="D95" s="65" t="s">
        <v>408</v>
      </c>
      <c r="E95" s="37">
        <v>1</v>
      </c>
      <c r="F95" s="37">
        <v>0</v>
      </c>
      <c r="G95" s="37">
        <v>0</v>
      </c>
      <c r="I95" s="65" t="s">
        <v>408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S95" s="37">
        <v>1</v>
      </c>
      <c r="T95" s="37">
        <v>0</v>
      </c>
      <c r="U95" s="37">
        <v>0</v>
      </c>
      <c r="W95" s="72"/>
      <c r="X95" s="70"/>
      <c r="Y95" s="70"/>
      <c r="Z95" s="70"/>
      <c r="AA95" s="70"/>
      <c r="AB95" s="70"/>
      <c r="AC95" s="70"/>
      <c r="AD95" s="70"/>
      <c r="AE95" s="70"/>
      <c r="AF95" s="70"/>
      <c r="AG95" s="46"/>
      <c r="AH95" s="46"/>
      <c r="AI95" s="46"/>
      <c r="AJ95" s="70"/>
      <c r="AK95" s="70"/>
      <c r="AL95" s="70"/>
      <c r="AO95" s="65" t="s">
        <v>407</v>
      </c>
      <c r="AP95" s="37">
        <v>1</v>
      </c>
      <c r="AQ95" s="37">
        <v>0</v>
      </c>
      <c r="AR95" s="37">
        <v>0</v>
      </c>
      <c r="AU95" s="70"/>
      <c r="AV95" s="70"/>
      <c r="AW95" s="70"/>
      <c r="AZ95" s="65" t="s">
        <v>407</v>
      </c>
      <c r="BA95" s="37">
        <v>0</v>
      </c>
      <c r="BB95" s="37">
        <v>0</v>
      </c>
      <c r="BC95" s="37">
        <v>1</v>
      </c>
      <c r="BD95" s="37">
        <v>0</v>
      </c>
      <c r="BF95" s="70"/>
      <c r="BG95" s="70"/>
      <c r="BH95" s="70"/>
      <c r="BI95" s="70"/>
    </row>
    <row r="96" spans="1:61" x14ac:dyDescent="0.3">
      <c r="A96" s="371"/>
      <c r="B96" s="371"/>
      <c r="D96" s="65" t="s">
        <v>401</v>
      </c>
      <c r="E96" s="37">
        <v>1</v>
      </c>
      <c r="F96" s="37">
        <v>0</v>
      </c>
      <c r="G96" s="37">
        <v>0</v>
      </c>
      <c r="I96" s="65" t="s">
        <v>401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S96" s="37">
        <v>1</v>
      </c>
      <c r="T96" s="37">
        <v>0</v>
      </c>
      <c r="U96" s="37">
        <v>0</v>
      </c>
      <c r="W96" s="72"/>
      <c r="X96" s="74"/>
      <c r="Y96" s="74"/>
      <c r="Z96" s="74"/>
      <c r="AA96" s="74"/>
      <c r="AB96" s="74"/>
      <c r="AC96" s="74"/>
      <c r="AD96" s="74"/>
      <c r="AE96" s="74"/>
      <c r="AF96" s="74"/>
      <c r="AG96" s="46"/>
      <c r="AH96" s="46"/>
      <c r="AI96" s="46"/>
      <c r="AJ96" s="74"/>
      <c r="AK96" s="74"/>
      <c r="AL96" s="74"/>
      <c r="AO96" s="65" t="s">
        <v>397</v>
      </c>
      <c r="AP96" s="37">
        <v>1</v>
      </c>
      <c r="AQ96" s="37">
        <v>0</v>
      </c>
      <c r="AR96" s="37">
        <v>0</v>
      </c>
      <c r="AU96" s="70"/>
      <c r="AV96" s="70"/>
      <c r="AW96" s="70"/>
      <c r="AZ96" s="65" t="s">
        <v>397</v>
      </c>
      <c r="BA96" s="37">
        <v>0</v>
      </c>
      <c r="BB96" s="37">
        <v>0</v>
      </c>
      <c r="BC96" s="37">
        <v>1</v>
      </c>
      <c r="BD96" s="37">
        <v>0</v>
      </c>
      <c r="BF96" s="70"/>
      <c r="BG96" s="70"/>
      <c r="BH96" s="70"/>
      <c r="BI96" s="70"/>
    </row>
    <row r="97" spans="1:61" x14ac:dyDescent="0.3">
      <c r="A97" s="371"/>
      <c r="B97" s="371"/>
      <c r="D97" s="65" t="s">
        <v>407</v>
      </c>
      <c r="E97" s="37">
        <v>1</v>
      </c>
      <c r="F97" s="37">
        <v>1</v>
      </c>
      <c r="G97" s="37">
        <v>0</v>
      </c>
      <c r="I97" s="65" t="s">
        <v>407</v>
      </c>
      <c r="J97" s="37">
        <v>0</v>
      </c>
      <c r="K97" s="37">
        <v>0</v>
      </c>
      <c r="L97" s="37">
        <v>0</v>
      </c>
      <c r="M97" s="37">
        <v>0</v>
      </c>
      <c r="N97" s="37">
        <v>0</v>
      </c>
      <c r="O97" s="37">
        <v>0</v>
      </c>
      <c r="S97" s="37">
        <v>1</v>
      </c>
      <c r="T97" s="37">
        <v>0</v>
      </c>
      <c r="U97" s="37">
        <v>0</v>
      </c>
      <c r="W97" s="72">
        <v>7</v>
      </c>
      <c r="X97" s="70"/>
      <c r="Y97" s="70"/>
      <c r="Z97" s="70"/>
      <c r="AA97" s="70"/>
      <c r="AB97" s="70"/>
      <c r="AC97" s="70"/>
      <c r="AD97" s="70"/>
      <c r="AE97" s="70"/>
      <c r="AF97" s="70"/>
      <c r="AG97" s="46"/>
      <c r="AH97" s="46"/>
      <c r="AI97" s="46"/>
      <c r="AJ97" s="70"/>
      <c r="AK97" s="70"/>
      <c r="AL97" s="70"/>
      <c r="AO97" s="65" t="s">
        <v>409</v>
      </c>
      <c r="AP97" s="37">
        <v>1</v>
      </c>
      <c r="AQ97" s="37">
        <v>0</v>
      </c>
      <c r="AR97" s="37">
        <v>0</v>
      </c>
      <c r="AU97" s="70"/>
      <c r="AV97" s="70"/>
      <c r="AW97" s="70"/>
      <c r="AZ97" s="65" t="s">
        <v>409</v>
      </c>
      <c r="BA97" s="37">
        <v>1</v>
      </c>
      <c r="BB97" s="37">
        <v>0</v>
      </c>
      <c r="BC97" s="37">
        <v>0</v>
      </c>
      <c r="BD97" s="37">
        <v>0</v>
      </c>
      <c r="BF97" s="70"/>
      <c r="BG97" s="70"/>
      <c r="BH97" s="70"/>
      <c r="BI97" s="70"/>
    </row>
    <row r="98" spans="1:61" x14ac:dyDescent="0.3">
      <c r="A98" s="371"/>
      <c r="B98" s="371"/>
      <c r="D98" s="65" t="s">
        <v>397</v>
      </c>
      <c r="E98" s="37">
        <v>1</v>
      </c>
      <c r="F98" s="37">
        <v>1</v>
      </c>
      <c r="G98" s="37">
        <v>0</v>
      </c>
      <c r="I98" s="65" t="s">
        <v>397</v>
      </c>
      <c r="J98" s="37">
        <v>0</v>
      </c>
      <c r="K98" s="37">
        <v>0</v>
      </c>
      <c r="L98" s="37">
        <v>0</v>
      </c>
      <c r="M98" s="37">
        <v>0</v>
      </c>
      <c r="N98" s="37">
        <v>0</v>
      </c>
      <c r="O98" s="37">
        <v>0</v>
      </c>
      <c r="S98" s="37">
        <v>1</v>
      </c>
      <c r="T98" s="37">
        <v>0</v>
      </c>
      <c r="U98" s="37">
        <v>0</v>
      </c>
      <c r="W98" s="72"/>
      <c r="X98" s="70"/>
      <c r="Y98" s="70"/>
      <c r="Z98" s="70"/>
      <c r="AA98" s="70"/>
      <c r="AB98" s="70"/>
      <c r="AC98" s="70"/>
      <c r="AD98" s="70"/>
      <c r="AE98" s="70"/>
      <c r="AF98" s="70"/>
      <c r="AG98" s="46"/>
      <c r="AH98" s="46"/>
      <c r="AI98" s="46"/>
      <c r="AJ98" s="70"/>
      <c r="AK98" s="70"/>
      <c r="AL98" s="70"/>
      <c r="AO98" s="65" t="s">
        <v>410</v>
      </c>
      <c r="AP98" s="37">
        <v>1</v>
      </c>
      <c r="AQ98" s="37">
        <v>0</v>
      </c>
      <c r="AR98" s="37">
        <v>0</v>
      </c>
      <c r="AU98" s="70"/>
      <c r="AV98" s="70"/>
      <c r="AW98" s="70"/>
      <c r="AZ98" s="65" t="s">
        <v>410</v>
      </c>
      <c r="BA98" s="37">
        <v>1</v>
      </c>
      <c r="BB98" s="37">
        <v>0</v>
      </c>
      <c r="BC98" s="37">
        <v>0</v>
      </c>
      <c r="BD98" s="37">
        <v>0</v>
      </c>
      <c r="BF98" s="70"/>
      <c r="BG98" s="70"/>
      <c r="BH98" s="70"/>
      <c r="BI98" s="70"/>
    </row>
    <row r="99" spans="1:61" x14ac:dyDescent="0.3">
      <c r="A99" s="371"/>
      <c r="B99" s="371"/>
      <c r="D99" s="65" t="s">
        <v>409</v>
      </c>
      <c r="E99" s="37">
        <v>1</v>
      </c>
      <c r="F99" s="37">
        <v>0</v>
      </c>
      <c r="G99" s="37">
        <v>0</v>
      </c>
      <c r="I99" s="65" t="s">
        <v>409</v>
      </c>
      <c r="J99" s="37">
        <v>0</v>
      </c>
      <c r="K99" s="37">
        <v>0</v>
      </c>
      <c r="L99" s="37">
        <v>0</v>
      </c>
      <c r="M99" s="37">
        <v>0</v>
      </c>
      <c r="N99" s="37">
        <v>0</v>
      </c>
      <c r="O99" s="37">
        <v>0</v>
      </c>
      <c r="S99" s="37">
        <v>1</v>
      </c>
      <c r="T99" s="37">
        <v>0</v>
      </c>
      <c r="U99" s="37">
        <v>0</v>
      </c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46"/>
      <c r="AH99" s="46"/>
      <c r="AI99" s="46"/>
      <c r="AJ99" s="72"/>
      <c r="AK99" s="72"/>
      <c r="AL99" s="72"/>
      <c r="AO99" s="65" t="s">
        <v>402</v>
      </c>
      <c r="AP99" s="37">
        <v>1</v>
      </c>
      <c r="AQ99" s="37">
        <v>0</v>
      </c>
      <c r="AR99" s="37">
        <v>0</v>
      </c>
      <c r="AU99" s="70"/>
      <c r="AV99" s="70"/>
      <c r="AW99" s="70"/>
      <c r="AZ99" s="65" t="s">
        <v>402</v>
      </c>
      <c r="BA99" s="37">
        <v>0</v>
      </c>
      <c r="BB99" s="37">
        <v>0</v>
      </c>
      <c r="BC99" s="37">
        <v>1</v>
      </c>
      <c r="BD99" s="37">
        <v>0</v>
      </c>
      <c r="BF99" s="70"/>
      <c r="BG99" s="70"/>
      <c r="BH99" s="70"/>
      <c r="BI99" s="70"/>
    </row>
    <row r="100" spans="1:61" x14ac:dyDescent="0.3">
      <c r="A100" s="371"/>
      <c r="B100" s="371"/>
      <c r="D100" s="65" t="s">
        <v>410</v>
      </c>
      <c r="E100" s="37">
        <v>1</v>
      </c>
      <c r="F100" s="37">
        <v>0</v>
      </c>
      <c r="G100" s="37">
        <v>0</v>
      </c>
      <c r="I100" s="65" t="s">
        <v>410</v>
      </c>
      <c r="J100" s="37">
        <v>0</v>
      </c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S100" s="37">
        <v>1</v>
      </c>
      <c r="T100" s="37">
        <v>0</v>
      </c>
      <c r="U100" s="37">
        <v>0</v>
      </c>
      <c r="W100" s="72">
        <v>8</v>
      </c>
      <c r="X100" s="70"/>
      <c r="Y100" s="70"/>
      <c r="Z100" s="70"/>
      <c r="AA100" s="70"/>
      <c r="AB100" s="70"/>
      <c r="AC100" s="70"/>
      <c r="AD100" s="70"/>
      <c r="AE100" s="70"/>
      <c r="AF100" s="70"/>
      <c r="AG100" s="46"/>
      <c r="AH100" s="46"/>
      <c r="AI100" s="46"/>
      <c r="AJ100" s="70"/>
      <c r="AK100" s="70"/>
      <c r="AL100" s="70"/>
      <c r="AO100" s="65" t="s">
        <v>411</v>
      </c>
      <c r="AP100" s="37">
        <v>1</v>
      </c>
      <c r="AQ100" s="37">
        <v>0</v>
      </c>
      <c r="AR100" s="37">
        <v>0</v>
      </c>
      <c r="AU100" s="70"/>
      <c r="AV100" s="70"/>
      <c r="AW100" s="70"/>
      <c r="AZ100" s="65" t="s">
        <v>411</v>
      </c>
      <c r="BA100" s="37">
        <v>1</v>
      </c>
      <c r="BB100" s="37">
        <v>0</v>
      </c>
      <c r="BC100" s="37">
        <v>0</v>
      </c>
      <c r="BD100" s="37">
        <v>0</v>
      </c>
      <c r="BF100" s="70"/>
      <c r="BG100" s="70"/>
      <c r="BH100" s="70"/>
      <c r="BI100" s="70"/>
    </row>
    <row r="101" spans="1:61" x14ac:dyDescent="0.3">
      <c r="A101" s="371"/>
      <c r="B101" s="371"/>
      <c r="D101" s="65" t="s">
        <v>402</v>
      </c>
      <c r="E101" s="37">
        <v>1</v>
      </c>
      <c r="F101" s="37">
        <v>1</v>
      </c>
      <c r="G101" s="37">
        <v>0</v>
      </c>
      <c r="I101" s="65" t="s">
        <v>402</v>
      </c>
      <c r="J101" s="37">
        <v>0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  <c r="S101" s="37">
        <v>1</v>
      </c>
      <c r="T101" s="37">
        <v>0</v>
      </c>
      <c r="U101" s="37">
        <v>0</v>
      </c>
      <c r="W101" s="72"/>
      <c r="X101" s="70"/>
      <c r="Y101" s="70"/>
      <c r="Z101" s="70"/>
      <c r="AA101" s="70"/>
      <c r="AB101" s="70"/>
      <c r="AC101" s="70"/>
      <c r="AD101" s="70"/>
      <c r="AE101" s="70"/>
      <c r="AF101" s="70"/>
      <c r="AG101" s="46"/>
      <c r="AH101" s="46"/>
      <c r="AI101" s="46"/>
      <c r="AJ101" s="70"/>
      <c r="AK101" s="70"/>
      <c r="AL101" s="70"/>
      <c r="AO101" s="65" t="s">
        <v>412</v>
      </c>
      <c r="AP101" s="37">
        <v>1</v>
      </c>
      <c r="AQ101" s="37">
        <v>0</v>
      </c>
      <c r="AR101" s="37">
        <v>0</v>
      </c>
      <c r="AU101" s="70"/>
      <c r="AV101" s="70"/>
      <c r="AW101" s="70"/>
      <c r="AZ101" s="65" t="s">
        <v>412</v>
      </c>
      <c r="BA101" s="37">
        <v>1</v>
      </c>
      <c r="BB101" s="37">
        <v>0</v>
      </c>
      <c r="BC101" s="37">
        <v>0</v>
      </c>
      <c r="BD101" s="37">
        <v>0</v>
      </c>
      <c r="BF101" s="70"/>
      <c r="BG101" s="70"/>
      <c r="BH101" s="70"/>
      <c r="BI101" s="70"/>
    </row>
    <row r="102" spans="1:61" x14ac:dyDescent="0.3">
      <c r="A102" s="371"/>
      <c r="B102" s="371"/>
      <c r="D102" s="65" t="s">
        <v>411</v>
      </c>
      <c r="E102" s="37">
        <v>1</v>
      </c>
      <c r="F102" s="37">
        <v>0</v>
      </c>
      <c r="G102" s="37">
        <v>0</v>
      </c>
      <c r="I102" s="65" t="s">
        <v>411</v>
      </c>
      <c r="J102" s="37">
        <v>0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S102" s="37">
        <v>1</v>
      </c>
      <c r="T102" s="37">
        <v>0</v>
      </c>
      <c r="U102" s="37">
        <v>0</v>
      </c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46"/>
      <c r="AH102" s="46"/>
      <c r="AI102" s="46"/>
      <c r="AJ102" s="72"/>
      <c r="AK102" s="72"/>
      <c r="AL102" s="72"/>
      <c r="AO102" s="65" t="s">
        <v>393</v>
      </c>
      <c r="AP102" s="37">
        <v>0</v>
      </c>
      <c r="AQ102" s="37">
        <v>0</v>
      </c>
      <c r="AR102" s="37">
        <v>0</v>
      </c>
      <c r="AU102" s="76"/>
      <c r="AV102" s="76"/>
      <c r="AW102" s="76"/>
      <c r="AZ102" s="65" t="s">
        <v>393</v>
      </c>
      <c r="BA102" s="37">
        <v>0</v>
      </c>
      <c r="BB102" s="37">
        <v>0</v>
      </c>
      <c r="BC102" s="37">
        <v>0</v>
      </c>
      <c r="BF102" s="70"/>
      <c r="BG102" s="70"/>
      <c r="BH102" s="70"/>
      <c r="BI102" s="70"/>
    </row>
    <row r="103" spans="1:61" x14ac:dyDescent="0.3">
      <c r="A103" s="371"/>
      <c r="B103" s="371"/>
      <c r="D103" s="65" t="s">
        <v>412</v>
      </c>
      <c r="E103" s="37">
        <v>1</v>
      </c>
      <c r="F103" s="37">
        <v>0</v>
      </c>
      <c r="G103" s="37">
        <v>0</v>
      </c>
      <c r="I103" s="65" t="s">
        <v>412</v>
      </c>
      <c r="J103" s="37">
        <v>0</v>
      </c>
      <c r="K103" s="37">
        <v>0</v>
      </c>
      <c r="L103" s="37">
        <v>0</v>
      </c>
      <c r="M103" s="37">
        <v>0</v>
      </c>
      <c r="N103" s="37">
        <v>0</v>
      </c>
      <c r="O103" s="37">
        <v>0</v>
      </c>
      <c r="S103" s="37">
        <v>1</v>
      </c>
      <c r="T103" s="37">
        <v>0</v>
      </c>
      <c r="U103" s="37">
        <v>0</v>
      </c>
      <c r="W103" s="72">
        <v>9</v>
      </c>
      <c r="X103" s="70"/>
      <c r="Y103" s="70"/>
      <c r="Z103" s="70"/>
      <c r="AA103" s="70"/>
      <c r="AB103" s="70"/>
      <c r="AC103" s="70"/>
      <c r="AD103" s="70"/>
      <c r="AE103" s="70"/>
      <c r="AF103" s="70"/>
      <c r="AG103" s="46"/>
      <c r="AH103" s="46"/>
      <c r="AI103" s="46"/>
      <c r="AJ103" s="70"/>
      <c r="AK103" s="70"/>
      <c r="AL103" s="70"/>
      <c r="AO103" s="65" t="s">
        <v>392</v>
      </c>
      <c r="AP103" s="37">
        <v>1</v>
      </c>
      <c r="AQ103" s="37">
        <v>0</v>
      </c>
      <c r="AR103" s="37">
        <v>0</v>
      </c>
      <c r="AZ103" s="65" t="s">
        <v>392</v>
      </c>
      <c r="BA103" s="37">
        <v>0</v>
      </c>
      <c r="BB103" s="37">
        <v>0</v>
      </c>
      <c r="BC103" s="37">
        <v>1</v>
      </c>
      <c r="BD103" s="37">
        <v>0</v>
      </c>
    </row>
    <row r="104" spans="1:61" x14ac:dyDescent="0.3">
      <c r="A104" s="371"/>
      <c r="B104" s="371"/>
      <c r="D104" s="65" t="s">
        <v>393</v>
      </c>
      <c r="E104" s="37">
        <v>0</v>
      </c>
      <c r="F104" s="37">
        <v>0</v>
      </c>
      <c r="G104" s="37">
        <v>0</v>
      </c>
      <c r="I104" s="65" t="s">
        <v>393</v>
      </c>
      <c r="J104" s="37">
        <v>0</v>
      </c>
      <c r="K104" s="37">
        <v>0</v>
      </c>
      <c r="L104" s="37">
        <v>0</v>
      </c>
      <c r="M104" s="37">
        <v>0</v>
      </c>
      <c r="N104" s="37">
        <v>0</v>
      </c>
      <c r="O104" s="37">
        <v>0</v>
      </c>
      <c r="S104" s="37">
        <v>0</v>
      </c>
      <c r="T104" s="37">
        <v>0</v>
      </c>
      <c r="U104" s="37">
        <v>0</v>
      </c>
      <c r="W104" s="72"/>
      <c r="X104" s="70"/>
      <c r="Y104" s="70"/>
      <c r="Z104" s="70"/>
      <c r="AA104" s="70"/>
      <c r="AB104" s="70"/>
      <c r="AC104" s="70"/>
      <c r="AD104" s="70"/>
      <c r="AE104" s="70"/>
      <c r="AF104" s="70"/>
      <c r="AG104" s="46"/>
      <c r="AH104" s="46"/>
      <c r="AI104" s="46"/>
      <c r="AJ104" s="70"/>
      <c r="AK104" s="70"/>
      <c r="AL104" s="70"/>
    </row>
    <row r="105" spans="1:61" x14ac:dyDescent="0.3">
      <c r="A105" s="371"/>
      <c r="B105" s="371"/>
      <c r="D105" s="65" t="s">
        <v>392</v>
      </c>
      <c r="E105" s="37">
        <v>1</v>
      </c>
      <c r="F105" s="37">
        <v>0</v>
      </c>
      <c r="G105" s="37">
        <v>1</v>
      </c>
      <c r="I105" s="65" t="s">
        <v>392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S105" s="37">
        <v>1</v>
      </c>
      <c r="T105" s="37">
        <v>0</v>
      </c>
      <c r="U105" s="37">
        <v>0</v>
      </c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46"/>
      <c r="AH105" s="46"/>
      <c r="AI105" s="46"/>
      <c r="AJ105" s="72"/>
      <c r="AK105" s="72"/>
      <c r="AL105" s="72"/>
    </row>
    <row r="106" spans="1:61" x14ac:dyDescent="0.3">
      <c r="W106" s="72">
        <v>10</v>
      </c>
      <c r="X106" s="70"/>
      <c r="Y106" s="70"/>
      <c r="Z106" s="70"/>
      <c r="AA106" s="70"/>
      <c r="AB106" s="70"/>
      <c r="AC106" s="70"/>
      <c r="AD106" s="70"/>
      <c r="AE106" s="70"/>
      <c r="AF106" s="70"/>
      <c r="AG106" s="46"/>
      <c r="AH106" s="46"/>
      <c r="AI106" s="46"/>
      <c r="AJ106" s="70"/>
      <c r="AK106" s="70"/>
      <c r="AL106" s="70"/>
    </row>
    <row r="107" spans="1:61" x14ac:dyDescent="0.3">
      <c r="W107" s="72"/>
      <c r="X107" s="70"/>
      <c r="Y107" s="70"/>
      <c r="Z107" s="70"/>
      <c r="AA107" s="70"/>
      <c r="AB107" s="70"/>
      <c r="AC107" s="70"/>
      <c r="AD107" s="70"/>
      <c r="AE107" s="70"/>
      <c r="AF107" s="70"/>
      <c r="AG107" s="46"/>
      <c r="AH107" s="46"/>
      <c r="AI107" s="46"/>
      <c r="AJ107" s="70"/>
      <c r="AK107" s="70"/>
      <c r="AL107" s="70"/>
    </row>
    <row r="108" spans="1:61" x14ac:dyDescent="0.3"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46"/>
      <c r="AH108" s="46"/>
      <c r="AI108" s="46"/>
      <c r="AJ108" s="72"/>
      <c r="AK108" s="72"/>
      <c r="AL108" s="72"/>
    </row>
    <row r="109" spans="1:61" x14ac:dyDescent="0.3">
      <c r="W109" s="72">
        <v>11</v>
      </c>
      <c r="X109" s="70"/>
      <c r="Y109" s="70"/>
      <c r="Z109" s="70"/>
      <c r="AA109" s="70"/>
      <c r="AB109" s="70"/>
      <c r="AC109" s="70"/>
      <c r="AD109" s="70"/>
      <c r="AE109" s="70"/>
      <c r="AF109" s="70"/>
      <c r="AG109" s="46"/>
      <c r="AH109" s="46"/>
      <c r="AI109" s="46"/>
      <c r="AJ109" s="70"/>
      <c r="AK109" s="70"/>
      <c r="AL109" s="70"/>
    </row>
    <row r="110" spans="1:61" x14ac:dyDescent="0.3">
      <c r="W110" s="72"/>
      <c r="X110" s="70"/>
      <c r="Y110" s="70"/>
      <c r="Z110" s="70"/>
      <c r="AA110" s="70"/>
      <c r="AB110" s="70"/>
      <c r="AC110" s="70"/>
      <c r="AD110" s="70"/>
      <c r="AE110" s="70"/>
      <c r="AF110" s="70"/>
      <c r="AG110" s="46"/>
      <c r="AH110" s="46"/>
      <c r="AI110" s="46"/>
      <c r="AJ110" s="70"/>
      <c r="AK110" s="70"/>
      <c r="AL110" s="70"/>
    </row>
    <row r="111" spans="1:61" x14ac:dyDescent="0.3"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46"/>
      <c r="AH111" s="46"/>
      <c r="AI111" s="46"/>
      <c r="AJ111" s="72"/>
      <c r="AK111" s="72"/>
      <c r="AL111" s="72"/>
    </row>
    <row r="112" spans="1:61" x14ac:dyDescent="0.3">
      <c r="W112" s="72">
        <v>12</v>
      </c>
      <c r="X112" s="70"/>
      <c r="Y112" s="70"/>
      <c r="Z112" s="70"/>
      <c r="AA112" s="70"/>
      <c r="AB112" s="70"/>
      <c r="AC112" s="70"/>
      <c r="AD112" s="70"/>
      <c r="AE112" s="70"/>
      <c r="AF112" s="70"/>
      <c r="AG112" s="46"/>
      <c r="AH112" s="46"/>
      <c r="AI112" s="46"/>
      <c r="AJ112" s="70"/>
      <c r="AK112" s="70"/>
      <c r="AL112" s="70"/>
    </row>
    <row r="113" spans="23:38" x14ac:dyDescent="0.3">
      <c r="W113" s="72"/>
      <c r="X113" s="70"/>
      <c r="Y113" s="70"/>
      <c r="Z113" s="70"/>
      <c r="AA113" s="70"/>
      <c r="AB113" s="70"/>
      <c r="AC113" s="70"/>
      <c r="AD113" s="70"/>
      <c r="AE113" s="70"/>
      <c r="AF113" s="70"/>
      <c r="AG113" s="46"/>
      <c r="AH113" s="46"/>
      <c r="AI113" s="46"/>
      <c r="AJ113" s="70"/>
      <c r="AK113" s="70"/>
      <c r="AL113" s="70"/>
    </row>
    <row r="114" spans="23:38" x14ac:dyDescent="0.3">
      <c r="W114" s="72"/>
      <c r="X114" s="74"/>
      <c r="Y114" s="74"/>
      <c r="Z114" s="74"/>
      <c r="AA114" s="74"/>
      <c r="AB114" s="74"/>
      <c r="AC114" s="74"/>
      <c r="AD114" s="74"/>
      <c r="AE114" s="74"/>
      <c r="AF114" s="74"/>
      <c r="AG114" s="46"/>
      <c r="AH114" s="46"/>
      <c r="AI114" s="46"/>
      <c r="AJ114" s="74"/>
      <c r="AK114" s="74"/>
      <c r="AL114" s="74"/>
    </row>
    <row r="115" spans="23:38" x14ac:dyDescent="0.3">
      <c r="W115" s="72">
        <v>13</v>
      </c>
      <c r="X115" s="70"/>
      <c r="Y115" s="70"/>
      <c r="Z115" s="70"/>
      <c r="AA115" s="70"/>
      <c r="AB115" s="70"/>
      <c r="AC115" s="70"/>
      <c r="AD115" s="70"/>
      <c r="AE115" s="70"/>
      <c r="AF115" s="70"/>
      <c r="AG115" s="46"/>
      <c r="AH115" s="46"/>
      <c r="AI115" s="46"/>
      <c r="AJ115" s="70"/>
      <c r="AK115" s="70"/>
      <c r="AL115" s="70"/>
    </row>
    <row r="116" spans="23:38" x14ac:dyDescent="0.3">
      <c r="W116" s="72"/>
      <c r="X116" s="70"/>
      <c r="Y116" s="70"/>
      <c r="Z116" s="70"/>
      <c r="AA116" s="70"/>
      <c r="AB116" s="70"/>
      <c r="AC116" s="70"/>
      <c r="AD116" s="70"/>
      <c r="AE116" s="70"/>
      <c r="AF116" s="70"/>
      <c r="AG116" s="46"/>
      <c r="AH116" s="46"/>
      <c r="AI116" s="46"/>
      <c r="AJ116" s="70"/>
      <c r="AK116" s="70"/>
      <c r="AL116" s="70"/>
    </row>
    <row r="117" spans="23:38" x14ac:dyDescent="0.3">
      <c r="W117" s="72"/>
      <c r="X117" s="74"/>
      <c r="Y117" s="74"/>
      <c r="Z117" s="74"/>
      <c r="AA117" s="74"/>
      <c r="AB117" s="74"/>
      <c r="AC117" s="74"/>
      <c r="AD117" s="74"/>
      <c r="AE117" s="74"/>
      <c r="AF117" s="74"/>
      <c r="AG117" s="46"/>
      <c r="AH117" s="46"/>
      <c r="AI117" s="46"/>
      <c r="AJ117" s="74"/>
      <c r="AK117" s="74"/>
      <c r="AL117" s="74"/>
    </row>
    <row r="118" spans="23:38" x14ac:dyDescent="0.3">
      <c r="W118" s="72">
        <v>14</v>
      </c>
      <c r="X118" s="70"/>
      <c r="Y118" s="70"/>
      <c r="Z118" s="70"/>
      <c r="AA118" s="70"/>
      <c r="AB118" s="70"/>
      <c r="AC118" s="70"/>
      <c r="AD118" s="70"/>
      <c r="AE118" s="70"/>
      <c r="AF118" s="70"/>
      <c r="AG118" s="46"/>
      <c r="AH118" s="46"/>
      <c r="AI118" s="46"/>
      <c r="AJ118" s="70"/>
      <c r="AK118" s="70"/>
      <c r="AL118" s="70"/>
    </row>
    <row r="119" spans="23:38" x14ac:dyDescent="0.3">
      <c r="W119" s="72"/>
      <c r="X119" s="70"/>
      <c r="Y119" s="70"/>
      <c r="Z119" s="70"/>
      <c r="AA119" s="70"/>
      <c r="AB119" s="70"/>
      <c r="AC119" s="70"/>
      <c r="AD119" s="70"/>
      <c r="AE119" s="70"/>
      <c r="AF119" s="70"/>
      <c r="AG119" s="46"/>
      <c r="AH119" s="46"/>
      <c r="AI119" s="46"/>
      <c r="AJ119" s="70"/>
      <c r="AK119" s="70"/>
      <c r="AL119" s="70"/>
    </row>
    <row r="120" spans="23:38" x14ac:dyDescent="0.3">
      <c r="W120" s="72"/>
      <c r="X120" s="74"/>
      <c r="Y120" s="74"/>
      <c r="Z120" s="74"/>
      <c r="AA120" s="74"/>
      <c r="AB120" s="74"/>
      <c r="AC120" s="74"/>
      <c r="AD120" s="74"/>
      <c r="AE120" s="74"/>
      <c r="AF120" s="74"/>
      <c r="AG120" s="46"/>
      <c r="AH120" s="46"/>
      <c r="AI120" s="46"/>
      <c r="AJ120" s="74"/>
      <c r="AK120" s="74"/>
      <c r="AL120" s="74"/>
    </row>
    <row r="121" spans="23:38" x14ac:dyDescent="0.3">
      <c r="W121" s="72">
        <v>15</v>
      </c>
      <c r="X121" s="70"/>
      <c r="Y121" s="70"/>
      <c r="Z121" s="70"/>
      <c r="AA121" s="70"/>
      <c r="AB121" s="70"/>
      <c r="AC121" s="70"/>
      <c r="AD121" s="70"/>
      <c r="AE121" s="70"/>
      <c r="AF121" s="70"/>
      <c r="AG121" s="46"/>
      <c r="AH121" s="46"/>
      <c r="AI121" s="46"/>
      <c r="AJ121" s="70"/>
      <c r="AK121" s="70"/>
      <c r="AL121" s="70"/>
    </row>
    <row r="122" spans="23:38" x14ac:dyDescent="0.3">
      <c r="W122" s="72"/>
      <c r="X122" s="70"/>
      <c r="Y122" s="70"/>
      <c r="Z122" s="70"/>
      <c r="AA122" s="70"/>
      <c r="AB122" s="70"/>
      <c r="AC122" s="70"/>
      <c r="AD122" s="70"/>
      <c r="AE122" s="70"/>
      <c r="AF122" s="70"/>
      <c r="AG122" s="46"/>
      <c r="AH122" s="46"/>
      <c r="AI122" s="46"/>
      <c r="AJ122" s="70"/>
      <c r="AK122" s="70"/>
      <c r="AL122" s="70"/>
    </row>
    <row r="123" spans="23:38" x14ac:dyDescent="0.3">
      <c r="W123" s="72"/>
      <c r="X123" s="74"/>
      <c r="Y123" s="74"/>
      <c r="Z123" s="74"/>
      <c r="AA123" s="74"/>
      <c r="AB123" s="74"/>
      <c r="AC123" s="74"/>
      <c r="AD123" s="74"/>
      <c r="AE123" s="74"/>
      <c r="AF123" s="74"/>
      <c r="AG123" s="46"/>
      <c r="AH123" s="46"/>
      <c r="AI123" s="46"/>
      <c r="AJ123" s="74"/>
      <c r="AK123" s="74"/>
      <c r="AL123" s="74"/>
    </row>
    <row r="124" spans="23:38" x14ac:dyDescent="0.3">
      <c r="W124" s="72">
        <v>16</v>
      </c>
      <c r="X124" s="70"/>
      <c r="Y124" s="70"/>
      <c r="Z124" s="70"/>
      <c r="AA124" s="70"/>
      <c r="AB124" s="70"/>
      <c r="AC124" s="70"/>
      <c r="AD124" s="70"/>
      <c r="AE124" s="70"/>
      <c r="AF124" s="70"/>
      <c r="AG124" s="46"/>
      <c r="AH124" s="46"/>
      <c r="AI124" s="46"/>
      <c r="AJ124" s="70"/>
      <c r="AK124" s="70"/>
      <c r="AL124" s="70"/>
    </row>
    <row r="125" spans="23:38" x14ac:dyDescent="0.3">
      <c r="W125" s="72"/>
      <c r="X125" s="70"/>
      <c r="Y125" s="70"/>
      <c r="Z125" s="70"/>
      <c r="AA125" s="70"/>
      <c r="AB125" s="70"/>
      <c r="AC125" s="70"/>
      <c r="AD125" s="70"/>
      <c r="AE125" s="70"/>
      <c r="AF125" s="70"/>
      <c r="AG125" s="46"/>
      <c r="AH125" s="46"/>
      <c r="AI125" s="46"/>
      <c r="AJ125" s="70"/>
      <c r="AK125" s="70"/>
      <c r="AL125" s="70"/>
    </row>
    <row r="126" spans="23:38" x14ac:dyDescent="0.3">
      <c r="W126" s="72"/>
      <c r="X126" s="74"/>
      <c r="Y126" s="74"/>
      <c r="Z126" s="74"/>
      <c r="AA126" s="74"/>
      <c r="AB126" s="74"/>
      <c r="AC126" s="74"/>
      <c r="AD126" s="74"/>
      <c r="AE126" s="74"/>
      <c r="AF126" s="74"/>
      <c r="AG126" s="46"/>
      <c r="AH126" s="46"/>
      <c r="AI126" s="46"/>
      <c r="AJ126" s="74"/>
      <c r="AK126" s="74"/>
      <c r="AL126" s="74"/>
    </row>
    <row r="127" spans="23:38" x14ac:dyDescent="0.3">
      <c r="W127" s="72">
        <v>17</v>
      </c>
      <c r="X127" s="70"/>
      <c r="Y127" s="70"/>
      <c r="Z127" s="70"/>
      <c r="AA127" s="70"/>
      <c r="AB127" s="70"/>
      <c r="AC127" s="70"/>
      <c r="AD127" s="70"/>
      <c r="AE127" s="70"/>
      <c r="AF127" s="70"/>
      <c r="AG127" s="46"/>
      <c r="AH127" s="46"/>
      <c r="AI127" s="46"/>
      <c r="AJ127" s="70"/>
      <c r="AK127" s="70"/>
      <c r="AL127" s="70"/>
    </row>
    <row r="128" spans="23:38" x14ac:dyDescent="0.3">
      <c r="W128" s="72"/>
      <c r="X128" s="70"/>
      <c r="Y128" s="70"/>
      <c r="Z128" s="70"/>
      <c r="AA128" s="70"/>
      <c r="AB128" s="70"/>
      <c r="AC128" s="70"/>
      <c r="AD128" s="70"/>
      <c r="AE128" s="70"/>
      <c r="AF128" s="70"/>
      <c r="AG128" s="46"/>
      <c r="AH128" s="46"/>
      <c r="AI128" s="46"/>
      <c r="AJ128" s="70"/>
      <c r="AK128" s="70"/>
      <c r="AL128" s="70"/>
    </row>
    <row r="129" spans="23:38" x14ac:dyDescent="0.3"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46"/>
      <c r="AH129" s="46"/>
      <c r="AI129" s="46"/>
      <c r="AJ129" s="72"/>
      <c r="AK129" s="72"/>
      <c r="AL129" s="72"/>
    </row>
    <row r="130" spans="23:38" x14ac:dyDescent="0.3">
      <c r="W130" s="72">
        <v>18</v>
      </c>
      <c r="X130" s="70"/>
      <c r="Y130" s="70"/>
      <c r="Z130" s="70"/>
      <c r="AA130" s="70"/>
      <c r="AB130" s="70"/>
      <c r="AC130" s="70"/>
      <c r="AD130" s="70"/>
      <c r="AE130" s="70"/>
      <c r="AF130" s="70"/>
      <c r="AG130" s="46"/>
      <c r="AH130" s="46"/>
      <c r="AI130" s="46"/>
      <c r="AJ130" s="70"/>
      <c r="AK130" s="70"/>
      <c r="AL130" s="70"/>
    </row>
    <row r="131" spans="23:38" x14ac:dyDescent="0.3">
      <c r="W131" s="72"/>
      <c r="X131" s="70"/>
      <c r="Y131" s="70"/>
      <c r="Z131" s="70"/>
      <c r="AA131" s="70"/>
      <c r="AB131" s="70"/>
      <c r="AC131" s="70"/>
      <c r="AD131" s="70"/>
      <c r="AE131" s="70"/>
      <c r="AF131" s="70"/>
      <c r="AG131" s="46"/>
      <c r="AH131" s="46"/>
      <c r="AI131" s="46"/>
      <c r="AJ131" s="70"/>
      <c r="AK131" s="70"/>
      <c r="AL131" s="70"/>
    </row>
    <row r="132" spans="23:38" x14ac:dyDescent="0.3"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46"/>
      <c r="AH132" s="46"/>
      <c r="AI132" s="46"/>
      <c r="AJ132" s="72"/>
      <c r="AK132" s="72"/>
      <c r="AL132" s="72"/>
    </row>
    <row r="133" spans="23:38" x14ac:dyDescent="0.3">
      <c r="W133" s="72">
        <v>19</v>
      </c>
      <c r="X133" s="70"/>
      <c r="Y133" s="70"/>
      <c r="Z133" s="70"/>
      <c r="AA133" s="70"/>
      <c r="AB133" s="70"/>
      <c r="AC133" s="70"/>
      <c r="AD133" s="70"/>
      <c r="AE133" s="70"/>
      <c r="AF133" s="70"/>
      <c r="AG133" s="46"/>
      <c r="AH133" s="46"/>
      <c r="AI133" s="46"/>
      <c r="AJ133" s="70"/>
      <c r="AK133" s="70"/>
      <c r="AL133" s="70"/>
    </row>
    <row r="134" spans="23:38" x14ac:dyDescent="0.3">
      <c r="W134" s="72"/>
      <c r="X134" s="70"/>
      <c r="Y134" s="70"/>
      <c r="Z134" s="70"/>
      <c r="AA134" s="70"/>
      <c r="AB134" s="70"/>
      <c r="AC134" s="70"/>
      <c r="AD134" s="70"/>
      <c r="AE134" s="70"/>
      <c r="AF134" s="70"/>
      <c r="AG134" s="46"/>
      <c r="AH134" s="46"/>
      <c r="AI134" s="46"/>
      <c r="AJ134" s="70"/>
      <c r="AK134" s="70"/>
      <c r="AL134" s="70"/>
    </row>
    <row r="135" spans="23:38" x14ac:dyDescent="0.3"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46"/>
      <c r="AH135" s="46"/>
      <c r="AI135" s="46"/>
      <c r="AJ135" s="72"/>
      <c r="AK135" s="72"/>
      <c r="AL135" s="72"/>
    </row>
    <row r="136" spans="23:38" x14ac:dyDescent="0.3">
      <c r="W136" s="72">
        <v>20</v>
      </c>
      <c r="X136" s="70"/>
      <c r="Y136" s="70"/>
      <c r="Z136" s="70"/>
      <c r="AA136" s="70"/>
      <c r="AB136" s="70"/>
      <c r="AC136" s="70"/>
      <c r="AD136" s="70"/>
      <c r="AE136" s="73"/>
      <c r="AF136" s="70"/>
      <c r="AG136" s="46"/>
      <c r="AH136" s="46"/>
      <c r="AI136" s="46"/>
      <c r="AJ136" s="70"/>
      <c r="AK136" s="70"/>
      <c r="AL136" s="70"/>
    </row>
    <row r="137" spans="23:38" x14ac:dyDescent="0.3">
      <c r="W137" s="72"/>
      <c r="X137" s="70"/>
      <c r="Y137" s="70"/>
      <c r="Z137" s="70"/>
      <c r="AA137" s="70"/>
      <c r="AB137" s="70"/>
      <c r="AC137" s="70"/>
      <c r="AD137" s="70"/>
      <c r="AE137" s="70"/>
      <c r="AF137" s="70"/>
      <c r="AG137" s="46"/>
      <c r="AH137" s="46"/>
      <c r="AI137" s="46"/>
      <c r="AJ137" s="70"/>
      <c r="AK137" s="70"/>
      <c r="AL137" s="70"/>
    </row>
    <row r="138" spans="23:38" x14ac:dyDescent="0.3"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46"/>
      <c r="AH138" s="46"/>
      <c r="AI138" s="46"/>
      <c r="AJ138" s="72"/>
      <c r="AK138" s="72"/>
      <c r="AL138" s="72"/>
    </row>
    <row r="139" spans="23:38" x14ac:dyDescent="0.3">
      <c r="W139" s="72">
        <v>21</v>
      </c>
      <c r="X139" s="70"/>
      <c r="Y139" s="70"/>
      <c r="Z139" s="70"/>
      <c r="AA139" s="70"/>
      <c r="AB139" s="70"/>
      <c r="AC139" s="70"/>
      <c r="AD139" s="70"/>
      <c r="AE139" s="70"/>
      <c r="AF139" s="70"/>
      <c r="AG139" s="46"/>
      <c r="AH139" s="46"/>
      <c r="AI139" s="46"/>
      <c r="AJ139" s="70"/>
      <c r="AK139" s="70"/>
      <c r="AL139" s="70"/>
    </row>
    <row r="140" spans="23:38" x14ac:dyDescent="0.3">
      <c r="W140" s="72"/>
      <c r="X140" s="70"/>
      <c r="Y140" s="70"/>
      <c r="Z140" s="70"/>
      <c r="AA140" s="70"/>
      <c r="AB140" s="70"/>
      <c r="AC140" s="70"/>
      <c r="AD140" s="70"/>
      <c r="AE140" s="70"/>
      <c r="AF140" s="70"/>
      <c r="AG140" s="46"/>
      <c r="AH140" s="46"/>
      <c r="AI140" s="46"/>
      <c r="AJ140" s="70"/>
      <c r="AK140" s="70"/>
      <c r="AL140" s="70"/>
    </row>
    <row r="141" spans="23:38" x14ac:dyDescent="0.3"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46"/>
      <c r="AH141" s="46"/>
      <c r="AI141" s="46"/>
      <c r="AJ141" s="72"/>
      <c r="AK141" s="72"/>
      <c r="AL141" s="72"/>
    </row>
    <row r="142" spans="23:38" x14ac:dyDescent="0.3"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46"/>
      <c r="AH142" s="46"/>
      <c r="AI142" s="46"/>
      <c r="AJ142" s="72"/>
      <c r="AK142" s="72"/>
      <c r="AL142" s="72"/>
    </row>
    <row r="143" spans="23:38" x14ac:dyDescent="0.3"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46"/>
      <c r="AH143" s="46"/>
      <c r="AI143" s="46"/>
      <c r="AJ143" s="72"/>
      <c r="AK143" s="72"/>
      <c r="AL143" s="72"/>
    </row>
    <row r="144" spans="23:38" ht="21" x14ac:dyDescent="0.4">
      <c r="W144" s="72"/>
      <c r="X144" s="43"/>
      <c r="Y144" s="43"/>
      <c r="Z144" s="43"/>
      <c r="AA144" s="43"/>
      <c r="AB144" s="43"/>
      <c r="AC144" s="43"/>
      <c r="AD144" s="43"/>
      <c r="AE144" s="43"/>
      <c r="AF144" s="43"/>
      <c r="AG144" s="49"/>
      <c r="AH144" s="49"/>
      <c r="AI144" s="49"/>
      <c r="AJ144" s="43"/>
      <c r="AK144" s="43"/>
      <c r="AL144" s="43"/>
    </row>
    <row r="145" spans="23:38" ht="21" x14ac:dyDescent="0.4">
      <c r="W145" s="72"/>
      <c r="X145" s="43"/>
      <c r="Y145" s="43"/>
      <c r="Z145" s="43"/>
      <c r="AA145" s="43"/>
      <c r="AB145" s="43"/>
      <c r="AC145" s="43"/>
      <c r="AD145" s="43"/>
      <c r="AE145" s="43"/>
      <c r="AF145" s="43"/>
      <c r="AG145" s="49"/>
      <c r="AH145" s="49"/>
      <c r="AI145" s="49"/>
      <c r="AJ145" s="43"/>
      <c r="AK145" s="43"/>
      <c r="AL145" s="43"/>
    </row>
    <row r="146" spans="23:38" x14ac:dyDescent="0.3"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</row>
    <row r="147" spans="23:38" x14ac:dyDescent="0.3">
      <c r="W147" s="373" t="s">
        <v>422</v>
      </c>
      <c r="X147" s="373"/>
      <c r="Y147" s="373"/>
      <c r="Z147" s="373"/>
      <c r="AA147" s="373"/>
      <c r="AB147" s="373"/>
      <c r="AC147" s="373"/>
      <c r="AD147" s="373"/>
      <c r="AE147" s="373"/>
      <c r="AF147" s="373"/>
      <c r="AG147" s="373"/>
      <c r="AH147" s="373"/>
      <c r="AI147" s="373"/>
      <c r="AJ147" s="373"/>
      <c r="AK147" s="373"/>
      <c r="AL147" s="373"/>
    </row>
    <row r="148" spans="23:38" x14ac:dyDescent="0.3"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</row>
    <row r="149" spans="23:38" x14ac:dyDescent="0.3">
      <c r="W149" s="72"/>
      <c r="X149" s="72" t="s">
        <v>12</v>
      </c>
      <c r="Y149" s="72" t="s">
        <v>11</v>
      </c>
      <c r="Z149" s="72" t="s">
        <v>10</v>
      </c>
      <c r="AA149" s="72" t="s">
        <v>192</v>
      </c>
      <c r="AB149" s="72" t="s">
        <v>9</v>
      </c>
      <c r="AC149" s="72" t="s">
        <v>15</v>
      </c>
      <c r="AD149" s="72" t="s">
        <v>14</v>
      </c>
      <c r="AE149" s="72" t="s">
        <v>13</v>
      </c>
      <c r="AF149" s="72" t="s">
        <v>16</v>
      </c>
      <c r="AG149" s="46" t="s">
        <v>230</v>
      </c>
      <c r="AH149" s="46" t="s">
        <v>230</v>
      </c>
      <c r="AI149" s="46" t="s">
        <v>230</v>
      </c>
      <c r="AJ149" s="72" t="s">
        <v>226</v>
      </c>
      <c r="AK149" s="72" t="s">
        <v>227</v>
      </c>
      <c r="AL149" s="72" t="s">
        <v>228</v>
      </c>
    </row>
    <row r="150" spans="23:38" x14ac:dyDescent="0.3">
      <c r="W150" s="72">
        <v>1</v>
      </c>
      <c r="X150" s="70"/>
      <c r="Y150" s="70"/>
      <c r="Z150" s="70"/>
      <c r="AA150" s="70"/>
      <c r="AB150" s="70"/>
      <c r="AC150" s="70"/>
      <c r="AD150" s="70"/>
      <c r="AE150" s="70"/>
      <c r="AF150" s="70"/>
      <c r="AG150" s="46"/>
      <c r="AH150" s="46"/>
      <c r="AI150" s="46"/>
      <c r="AJ150" s="70"/>
      <c r="AK150" s="70"/>
      <c r="AL150" s="70"/>
    </row>
    <row r="151" spans="23:38" x14ac:dyDescent="0.3">
      <c r="W151" s="71"/>
      <c r="X151" s="73"/>
      <c r="Y151" s="73"/>
      <c r="Z151" s="73"/>
      <c r="AA151" s="73"/>
      <c r="AB151" s="73"/>
      <c r="AC151" s="73"/>
      <c r="AD151" s="73"/>
      <c r="AE151" s="73"/>
      <c r="AF151" s="73"/>
      <c r="AG151" s="75"/>
      <c r="AH151" s="75"/>
      <c r="AI151" s="75"/>
      <c r="AJ151" s="73"/>
      <c r="AK151" s="73"/>
      <c r="AL151" s="73"/>
    </row>
    <row r="152" spans="23:38" x14ac:dyDescent="0.3">
      <c r="W152" s="72"/>
      <c r="X152" s="74"/>
      <c r="Y152" s="74"/>
      <c r="Z152" s="74"/>
      <c r="AA152" s="74"/>
      <c r="AB152" s="74"/>
      <c r="AC152" s="74"/>
      <c r="AD152" s="74"/>
      <c r="AE152" s="74"/>
      <c r="AF152" s="74"/>
      <c r="AG152" s="46"/>
      <c r="AH152" s="46"/>
      <c r="AI152" s="46"/>
      <c r="AJ152" s="74"/>
      <c r="AK152" s="74"/>
      <c r="AL152" s="74"/>
    </row>
    <row r="153" spans="23:38" x14ac:dyDescent="0.3">
      <c r="W153" s="72">
        <v>2</v>
      </c>
      <c r="X153" s="70"/>
      <c r="Y153" s="70"/>
      <c r="Z153" s="70"/>
      <c r="AA153" s="70"/>
      <c r="AB153" s="70"/>
      <c r="AC153" s="70"/>
      <c r="AD153" s="70"/>
      <c r="AE153" s="70"/>
      <c r="AF153" s="70"/>
      <c r="AG153" s="46"/>
      <c r="AH153" s="46"/>
      <c r="AI153" s="46"/>
      <c r="AJ153" s="70"/>
      <c r="AK153" s="70"/>
      <c r="AL153" s="70"/>
    </row>
    <row r="154" spans="23:38" x14ac:dyDescent="0.3">
      <c r="W154" s="72"/>
      <c r="X154" s="70"/>
      <c r="Y154" s="70"/>
      <c r="Z154" s="70"/>
      <c r="AA154" s="70"/>
      <c r="AB154" s="70"/>
      <c r="AC154" s="70"/>
      <c r="AD154" s="70"/>
      <c r="AE154" s="70"/>
      <c r="AF154" s="70"/>
      <c r="AG154" s="46"/>
      <c r="AH154" s="46"/>
      <c r="AI154" s="46"/>
      <c r="AJ154" s="70"/>
      <c r="AK154" s="70"/>
      <c r="AL154" s="70"/>
    </row>
    <row r="155" spans="23:38" x14ac:dyDescent="0.3">
      <c r="W155" s="72"/>
      <c r="X155" s="74"/>
      <c r="Y155" s="74"/>
      <c r="Z155" s="74"/>
      <c r="AA155" s="74"/>
      <c r="AB155" s="74"/>
      <c r="AC155" s="74"/>
      <c r="AD155" s="74"/>
      <c r="AE155" s="74"/>
      <c r="AF155" s="74"/>
      <c r="AG155" s="46"/>
      <c r="AH155" s="46"/>
      <c r="AI155" s="46"/>
      <c r="AJ155" s="74"/>
      <c r="AK155" s="74"/>
      <c r="AL155" s="74"/>
    </row>
    <row r="156" spans="23:38" x14ac:dyDescent="0.3">
      <c r="W156" s="72">
        <v>3</v>
      </c>
      <c r="X156" s="70"/>
      <c r="Y156" s="70"/>
      <c r="Z156" s="70"/>
      <c r="AA156" s="70"/>
      <c r="AB156" s="70"/>
      <c r="AC156" s="70"/>
      <c r="AD156" s="70"/>
      <c r="AE156" s="70"/>
      <c r="AF156" s="70"/>
      <c r="AG156" s="46"/>
      <c r="AH156" s="46"/>
      <c r="AI156" s="46"/>
      <c r="AJ156" s="70"/>
      <c r="AK156" s="70"/>
      <c r="AL156" s="70"/>
    </row>
    <row r="157" spans="23:38" x14ac:dyDescent="0.3">
      <c r="W157" s="72"/>
      <c r="X157" s="70"/>
      <c r="Y157" s="70"/>
      <c r="Z157" s="70"/>
      <c r="AA157" s="70"/>
      <c r="AB157" s="70"/>
      <c r="AC157" s="70"/>
      <c r="AD157" s="70"/>
      <c r="AE157" s="70"/>
      <c r="AF157" s="70"/>
      <c r="AG157" s="46"/>
      <c r="AH157" s="46"/>
      <c r="AI157" s="46"/>
      <c r="AJ157" s="70"/>
      <c r="AK157" s="70"/>
      <c r="AL157" s="70"/>
    </row>
    <row r="158" spans="23:38" x14ac:dyDescent="0.3">
      <c r="W158" s="72"/>
      <c r="X158" s="74"/>
      <c r="Y158" s="74"/>
      <c r="Z158" s="74"/>
      <c r="AA158" s="74"/>
      <c r="AB158" s="74"/>
      <c r="AC158" s="74"/>
      <c r="AD158" s="74"/>
      <c r="AE158" s="74"/>
      <c r="AF158" s="74"/>
      <c r="AG158" s="46"/>
      <c r="AH158" s="46"/>
      <c r="AI158" s="46"/>
      <c r="AJ158" s="74"/>
      <c r="AK158" s="74"/>
      <c r="AL158" s="74"/>
    </row>
    <row r="159" spans="23:38" x14ac:dyDescent="0.3">
      <c r="W159" s="72">
        <v>4</v>
      </c>
      <c r="X159" s="70"/>
      <c r="Y159" s="70"/>
      <c r="Z159" s="70"/>
      <c r="AA159" s="70"/>
      <c r="AB159" s="70"/>
      <c r="AC159" s="70"/>
      <c r="AD159" s="70"/>
      <c r="AE159" s="70"/>
      <c r="AF159" s="70"/>
      <c r="AG159" s="46"/>
      <c r="AH159" s="46"/>
      <c r="AI159" s="46"/>
      <c r="AJ159" s="70"/>
      <c r="AK159" s="70"/>
      <c r="AL159" s="70"/>
    </row>
    <row r="160" spans="23:38" x14ac:dyDescent="0.3">
      <c r="W160" s="72"/>
      <c r="X160" s="70"/>
      <c r="Y160" s="70"/>
      <c r="Z160" s="70"/>
      <c r="AA160" s="70"/>
      <c r="AB160" s="70"/>
      <c r="AC160" s="70"/>
      <c r="AD160" s="70"/>
      <c r="AE160" s="70"/>
      <c r="AF160" s="70"/>
      <c r="AG160" s="46"/>
      <c r="AH160" s="46"/>
      <c r="AI160" s="46"/>
      <c r="AJ160" s="70"/>
      <c r="AK160" s="70"/>
      <c r="AL160" s="70"/>
    </row>
    <row r="161" spans="23:38" x14ac:dyDescent="0.3">
      <c r="W161" s="72"/>
      <c r="X161" s="74"/>
      <c r="Y161" s="74"/>
      <c r="Z161" s="74"/>
      <c r="AA161" s="74"/>
      <c r="AB161" s="74"/>
      <c r="AC161" s="74"/>
      <c r="AD161" s="74"/>
      <c r="AE161" s="74"/>
      <c r="AF161" s="74"/>
      <c r="AG161" s="46"/>
      <c r="AH161" s="46"/>
      <c r="AI161" s="46"/>
      <c r="AJ161" s="74"/>
      <c r="AK161" s="74"/>
      <c r="AL161" s="74"/>
    </row>
    <row r="162" spans="23:38" x14ac:dyDescent="0.3">
      <c r="W162" s="72">
        <v>5</v>
      </c>
      <c r="X162" s="70"/>
      <c r="Y162" s="70"/>
      <c r="Z162" s="70"/>
      <c r="AA162" s="70"/>
      <c r="AB162" s="70"/>
      <c r="AC162" s="70"/>
      <c r="AD162" s="70"/>
      <c r="AE162" s="70"/>
      <c r="AF162" s="70"/>
      <c r="AG162" s="46"/>
      <c r="AH162" s="46"/>
      <c r="AI162" s="46"/>
      <c r="AJ162" s="70"/>
      <c r="AK162" s="70"/>
      <c r="AL162" s="70"/>
    </row>
    <row r="163" spans="23:38" x14ac:dyDescent="0.3">
      <c r="W163" s="72"/>
      <c r="X163" s="70"/>
      <c r="Y163" s="70"/>
      <c r="Z163" s="70"/>
      <c r="AA163" s="70"/>
      <c r="AB163" s="70"/>
      <c r="AC163" s="70"/>
      <c r="AD163" s="70"/>
      <c r="AE163" s="70"/>
      <c r="AF163" s="70"/>
      <c r="AG163" s="46"/>
      <c r="AH163" s="46"/>
      <c r="AI163" s="46"/>
      <c r="AJ163" s="70"/>
      <c r="AK163" s="70"/>
      <c r="AL163" s="70"/>
    </row>
    <row r="164" spans="23:38" x14ac:dyDescent="0.3">
      <c r="W164" s="72"/>
      <c r="X164" s="74"/>
      <c r="Y164" s="74"/>
      <c r="Z164" s="74"/>
      <c r="AA164" s="74"/>
      <c r="AB164" s="74"/>
      <c r="AC164" s="74"/>
      <c r="AD164" s="74"/>
      <c r="AE164" s="74"/>
      <c r="AF164" s="74"/>
      <c r="AG164" s="46"/>
      <c r="AH164" s="46"/>
      <c r="AI164" s="46"/>
      <c r="AJ164" s="74"/>
      <c r="AK164" s="74"/>
      <c r="AL164" s="74"/>
    </row>
    <row r="165" spans="23:38" x14ac:dyDescent="0.3">
      <c r="W165" s="72">
        <v>6</v>
      </c>
      <c r="X165" s="70"/>
      <c r="Y165" s="70"/>
      <c r="Z165" s="70"/>
      <c r="AA165" s="70"/>
      <c r="AB165" s="70"/>
      <c r="AC165" s="70"/>
      <c r="AD165" s="70"/>
      <c r="AE165" s="70"/>
      <c r="AF165" s="70"/>
      <c r="AG165" s="46"/>
      <c r="AH165" s="46"/>
      <c r="AI165" s="46"/>
      <c r="AJ165" s="70"/>
      <c r="AK165" s="70"/>
      <c r="AL165" s="70"/>
    </row>
    <row r="166" spans="23:38" x14ac:dyDescent="0.3">
      <c r="W166" s="72"/>
      <c r="X166" s="70"/>
      <c r="Y166" s="70"/>
      <c r="Z166" s="70"/>
      <c r="AA166" s="70"/>
      <c r="AB166" s="70"/>
      <c r="AC166" s="70"/>
      <c r="AD166" s="70"/>
      <c r="AE166" s="70"/>
      <c r="AF166" s="70"/>
      <c r="AG166" s="46"/>
      <c r="AH166" s="46"/>
      <c r="AI166" s="46"/>
      <c r="AJ166" s="70"/>
      <c r="AK166" s="70"/>
      <c r="AL166" s="70"/>
    </row>
    <row r="167" spans="23:38" x14ac:dyDescent="0.3">
      <c r="W167" s="72"/>
      <c r="X167" s="74"/>
      <c r="Y167" s="74"/>
      <c r="Z167" s="74"/>
      <c r="AA167" s="74"/>
      <c r="AB167" s="74"/>
      <c r="AC167" s="74"/>
      <c r="AD167" s="74"/>
      <c r="AE167" s="74"/>
      <c r="AF167" s="74"/>
      <c r="AG167" s="46"/>
      <c r="AH167" s="46"/>
      <c r="AI167" s="46"/>
      <c r="AJ167" s="74"/>
      <c r="AK167" s="74"/>
      <c r="AL167" s="74"/>
    </row>
    <row r="168" spans="23:38" x14ac:dyDescent="0.3">
      <c r="W168" s="72">
        <v>7</v>
      </c>
      <c r="X168" s="70"/>
      <c r="Y168" s="70"/>
      <c r="Z168" s="70"/>
      <c r="AA168" s="70"/>
      <c r="AB168" s="70"/>
      <c r="AC168" s="70"/>
      <c r="AD168" s="70"/>
      <c r="AE168" s="70"/>
      <c r="AF168" s="70"/>
      <c r="AG168" s="46"/>
      <c r="AH168" s="46"/>
      <c r="AI168" s="46"/>
      <c r="AJ168" s="70"/>
      <c r="AK168" s="70"/>
      <c r="AL168" s="70"/>
    </row>
    <row r="169" spans="23:38" x14ac:dyDescent="0.3">
      <c r="W169" s="72"/>
      <c r="X169" s="70"/>
      <c r="Y169" s="70"/>
      <c r="Z169" s="70"/>
      <c r="AA169" s="70"/>
      <c r="AB169" s="70"/>
      <c r="AC169" s="70"/>
      <c r="AD169" s="70"/>
      <c r="AE169" s="70"/>
      <c r="AF169" s="70"/>
      <c r="AG169" s="46"/>
      <c r="AH169" s="46"/>
      <c r="AI169" s="46"/>
      <c r="AJ169" s="70"/>
      <c r="AK169" s="70"/>
      <c r="AL169" s="70"/>
    </row>
    <row r="170" spans="23:38" x14ac:dyDescent="0.3"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46"/>
      <c r="AH170" s="46"/>
      <c r="AI170" s="46"/>
      <c r="AJ170" s="72"/>
      <c r="AK170" s="72"/>
      <c r="AL170" s="72"/>
    </row>
    <row r="171" spans="23:38" x14ac:dyDescent="0.3">
      <c r="W171" s="72">
        <v>8</v>
      </c>
      <c r="X171" s="70"/>
      <c r="Y171" s="70"/>
      <c r="Z171" s="70"/>
      <c r="AA171" s="70"/>
      <c r="AB171" s="70"/>
      <c r="AC171" s="70"/>
      <c r="AD171" s="70"/>
      <c r="AE171" s="70"/>
      <c r="AF171" s="70"/>
      <c r="AG171" s="46"/>
      <c r="AH171" s="46"/>
      <c r="AI171" s="46"/>
      <c r="AJ171" s="70"/>
      <c r="AK171" s="70"/>
      <c r="AL171" s="70"/>
    </row>
    <row r="172" spans="23:38" x14ac:dyDescent="0.3">
      <c r="W172" s="72"/>
      <c r="X172" s="70"/>
      <c r="Y172" s="70"/>
      <c r="Z172" s="70"/>
      <c r="AA172" s="70"/>
      <c r="AB172" s="70"/>
      <c r="AC172" s="70"/>
      <c r="AD172" s="70"/>
      <c r="AE172" s="70"/>
      <c r="AF172" s="70"/>
      <c r="AG172" s="46"/>
      <c r="AH172" s="46"/>
      <c r="AI172" s="46"/>
      <c r="AJ172" s="70"/>
      <c r="AK172" s="70"/>
      <c r="AL172" s="70"/>
    </row>
    <row r="173" spans="23:38" x14ac:dyDescent="0.3"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46"/>
      <c r="AH173" s="46"/>
      <c r="AI173" s="46"/>
      <c r="AJ173" s="72"/>
      <c r="AK173" s="72"/>
      <c r="AL173" s="72"/>
    </row>
    <row r="174" spans="23:38" x14ac:dyDescent="0.3">
      <c r="W174" s="72">
        <v>9</v>
      </c>
      <c r="X174" s="70"/>
      <c r="Y174" s="70"/>
      <c r="Z174" s="70"/>
      <c r="AA174" s="70"/>
      <c r="AB174" s="70"/>
      <c r="AC174" s="70"/>
      <c r="AD174" s="70"/>
      <c r="AE174" s="70"/>
      <c r="AF174" s="70"/>
      <c r="AG174" s="46"/>
      <c r="AH174" s="46"/>
      <c r="AI174" s="46"/>
      <c r="AJ174" s="70"/>
      <c r="AK174" s="70"/>
      <c r="AL174" s="70"/>
    </row>
    <row r="175" spans="23:38" x14ac:dyDescent="0.3">
      <c r="W175" s="72"/>
      <c r="X175" s="70"/>
      <c r="Y175" s="70"/>
      <c r="Z175" s="70"/>
      <c r="AA175" s="70"/>
      <c r="AB175" s="70"/>
      <c r="AC175" s="70"/>
      <c r="AD175" s="70"/>
      <c r="AE175" s="70"/>
      <c r="AF175" s="70"/>
      <c r="AG175" s="46"/>
      <c r="AH175" s="46"/>
      <c r="AI175" s="46"/>
      <c r="AJ175" s="70"/>
      <c r="AK175" s="70"/>
      <c r="AL175" s="70"/>
    </row>
    <row r="176" spans="23:38" x14ac:dyDescent="0.3"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46"/>
      <c r="AH176" s="46"/>
      <c r="AI176" s="46"/>
      <c r="AJ176" s="72"/>
      <c r="AK176" s="72"/>
      <c r="AL176" s="72"/>
    </row>
    <row r="177" spans="23:38" x14ac:dyDescent="0.3">
      <c r="W177" s="72">
        <v>10</v>
      </c>
      <c r="X177" s="70"/>
      <c r="Y177" s="70"/>
      <c r="Z177" s="70"/>
      <c r="AA177" s="70"/>
      <c r="AB177" s="70"/>
      <c r="AC177" s="70"/>
      <c r="AD177" s="70"/>
      <c r="AE177" s="70"/>
      <c r="AF177" s="70"/>
      <c r="AG177" s="46"/>
      <c r="AH177" s="46"/>
      <c r="AI177" s="46"/>
      <c r="AJ177" s="70"/>
      <c r="AK177" s="70"/>
      <c r="AL177" s="70"/>
    </row>
    <row r="178" spans="23:38" x14ac:dyDescent="0.3">
      <c r="W178" s="72"/>
      <c r="X178" s="70"/>
      <c r="Y178" s="70"/>
      <c r="Z178" s="70"/>
      <c r="AA178" s="70"/>
      <c r="AB178" s="70"/>
      <c r="AC178" s="70"/>
      <c r="AD178" s="70"/>
      <c r="AE178" s="70"/>
      <c r="AF178" s="70"/>
      <c r="AG178" s="46"/>
      <c r="AH178" s="46"/>
      <c r="AI178" s="46"/>
      <c r="AJ178" s="70"/>
      <c r="AK178" s="70"/>
      <c r="AL178" s="70"/>
    </row>
    <row r="179" spans="23:38" x14ac:dyDescent="0.3"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46"/>
      <c r="AH179" s="46"/>
      <c r="AI179" s="46"/>
      <c r="AJ179" s="72"/>
      <c r="AK179" s="72"/>
      <c r="AL179" s="72"/>
    </row>
    <row r="180" spans="23:38" x14ac:dyDescent="0.3">
      <c r="W180" s="72">
        <v>11</v>
      </c>
      <c r="X180" s="70"/>
      <c r="Y180" s="70"/>
      <c r="Z180" s="70"/>
      <c r="AA180" s="70"/>
      <c r="AB180" s="70"/>
      <c r="AC180" s="70"/>
      <c r="AD180" s="70"/>
      <c r="AE180" s="70"/>
      <c r="AF180" s="70"/>
      <c r="AG180" s="46"/>
      <c r="AH180" s="46"/>
      <c r="AI180" s="46"/>
      <c r="AJ180" s="70"/>
      <c r="AK180" s="70"/>
      <c r="AL180" s="70"/>
    </row>
    <row r="181" spans="23:38" x14ac:dyDescent="0.3">
      <c r="W181" s="72"/>
      <c r="X181" s="70"/>
      <c r="Y181" s="70"/>
      <c r="Z181" s="70"/>
      <c r="AA181" s="70"/>
      <c r="AB181" s="70"/>
      <c r="AC181" s="70"/>
      <c r="AD181" s="70"/>
      <c r="AE181" s="70"/>
      <c r="AF181" s="70"/>
      <c r="AG181" s="46"/>
      <c r="AH181" s="46"/>
      <c r="AI181" s="46"/>
      <c r="AJ181" s="70"/>
      <c r="AK181" s="70"/>
      <c r="AL181" s="70"/>
    </row>
    <row r="182" spans="23:38" x14ac:dyDescent="0.3"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46"/>
      <c r="AH182" s="46"/>
      <c r="AI182" s="46"/>
      <c r="AJ182" s="72"/>
      <c r="AK182" s="72"/>
      <c r="AL182" s="72"/>
    </row>
    <row r="183" spans="23:38" x14ac:dyDescent="0.3">
      <c r="W183" s="72">
        <v>12</v>
      </c>
      <c r="X183" s="70"/>
      <c r="Y183" s="70"/>
      <c r="Z183" s="70"/>
      <c r="AA183" s="70"/>
      <c r="AB183" s="70"/>
      <c r="AC183" s="70"/>
      <c r="AD183" s="70"/>
      <c r="AE183" s="70"/>
      <c r="AF183" s="70"/>
      <c r="AG183" s="46"/>
      <c r="AH183" s="46"/>
      <c r="AI183" s="46"/>
      <c r="AJ183" s="70"/>
      <c r="AK183" s="70"/>
      <c r="AL183" s="70"/>
    </row>
    <row r="184" spans="23:38" x14ac:dyDescent="0.3">
      <c r="W184" s="72"/>
      <c r="X184" s="70"/>
      <c r="Y184" s="70"/>
      <c r="Z184" s="70"/>
      <c r="AA184" s="70"/>
      <c r="AB184" s="70"/>
      <c r="AC184" s="70"/>
      <c r="AD184" s="70"/>
      <c r="AE184" s="70"/>
      <c r="AF184" s="70"/>
      <c r="AG184" s="46"/>
      <c r="AH184" s="46"/>
      <c r="AI184" s="46"/>
      <c r="AJ184" s="70"/>
      <c r="AK184" s="70"/>
      <c r="AL184" s="70"/>
    </row>
    <row r="185" spans="23:38" x14ac:dyDescent="0.3">
      <c r="W185" s="72"/>
      <c r="X185" s="74"/>
      <c r="Y185" s="74"/>
      <c r="Z185" s="74"/>
      <c r="AA185" s="74"/>
      <c r="AB185" s="74"/>
      <c r="AC185" s="74"/>
      <c r="AD185" s="74"/>
      <c r="AE185" s="74"/>
      <c r="AF185" s="74"/>
      <c r="AG185" s="46"/>
      <c r="AH185" s="46"/>
      <c r="AI185" s="46"/>
      <c r="AJ185" s="74"/>
      <c r="AK185" s="74"/>
      <c r="AL185" s="74"/>
    </row>
    <row r="186" spans="23:38" x14ac:dyDescent="0.3">
      <c r="W186" s="72">
        <v>13</v>
      </c>
      <c r="X186" s="70"/>
      <c r="Y186" s="70"/>
      <c r="Z186" s="70"/>
      <c r="AA186" s="70"/>
      <c r="AB186" s="70"/>
      <c r="AC186" s="70"/>
      <c r="AD186" s="70"/>
      <c r="AE186" s="70"/>
      <c r="AF186" s="70"/>
      <c r="AG186" s="46"/>
      <c r="AH186" s="46"/>
      <c r="AI186" s="46"/>
      <c r="AJ186" s="70"/>
      <c r="AK186" s="70"/>
      <c r="AL186" s="70"/>
    </row>
    <row r="187" spans="23:38" x14ac:dyDescent="0.3">
      <c r="W187" s="72"/>
      <c r="X187" s="70"/>
      <c r="Y187" s="70"/>
      <c r="Z187" s="70"/>
      <c r="AA187" s="70"/>
      <c r="AB187" s="70"/>
      <c r="AC187" s="70"/>
      <c r="AD187" s="70"/>
      <c r="AE187" s="70"/>
      <c r="AF187" s="70"/>
      <c r="AG187" s="46"/>
      <c r="AH187" s="46"/>
      <c r="AI187" s="46"/>
      <c r="AJ187" s="70"/>
      <c r="AK187" s="70"/>
      <c r="AL187" s="70"/>
    </row>
    <row r="188" spans="23:38" x14ac:dyDescent="0.3">
      <c r="W188" s="72"/>
      <c r="X188" s="74"/>
      <c r="Y188" s="74"/>
      <c r="Z188" s="74"/>
      <c r="AA188" s="74"/>
      <c r="AB188" s="74"/>
      <c r="AC188" s="74"/>
      <c r="AD188" s="74"/>
      <c r="AE188" s="74"/>
      <c r="AF188" s="74"/>
      <c r="AG188" s="46"/>
      <c r="AH188" s="46"/>
      <c r="AI188" s="46"/>
      <c r="AJ188" s="74"/>
      <c r="AK188" s="74"/>
      <c r="AL188" s="74"/>
    </row>
    <row r="189" spans="23:38" x14ac:dyDescent="0.3">
      <c r="W189" s="72">
        <v>14</v>
      </c>
      <c r="X189" s="70"/>
      <c r="Y189" s="70"/>
      <c r="Z189" s="70"/>
      <c r="AA189" s="70"/>
      <c r="AB189" s="70"/>
      <c r="AC189" s="70"/>
      <c r="AD189" s="70"/>
      <c r="AE189" s="70"/>
      <c r="AF189" s="70"/>
      <c r="AG189" s="46"/>
      <c r="AH189" s="46"/>
      <c r="AI189" s="46"/>
      <c r="AJ189" s="70"/>
      <c r="AK189" s="70"/>
      <c r="AL189" s="70"/>
    </row>
    <row r="190" spans="23:38" x14ac:dyDescent="0.3">
      <c r="W190" s="72"/>
      <c r="X190" s="70"/>
      <c r="Y190" s="70"/>
      <c r="Z190" s="70"/>
      <c r="AA190" s="70"/>
      <c r="AB190" s="70"/>
      <c r="AC190" s="70"/>
      <c r="AD190" s="70"/>
      <c r="AE190" s="70"/>
      <c r="AF190" s="70"/>
      <c r="AG190" s="46"/>
      <c r="AH190" s="46"/>
      <c r="AI190" s="46"/>
      <c r="AJ190" s="70"/>
      <c r="AK190" s="70"/>
      <c r="AL190" s="70"/>
    </row>
    <row r="191" spans="23:38" x14ac:dyDescent="0.3">
      <c r="W191" s="72"/>
      <c r="X191" s="74"/>
      <c r="Y191" s="74"/>
      <c r="Z191" s="74"/>
      <c r="AA191" s="74"/>
      <c r="AB191" s="74"/>
      <c r="AC191" s="74"/>
      <c r="AD191" s="74"/>
      <c r="AE191" s="74"/>
      <c r="AF191" s="74"/>
      <c r="AG191" s="46"/>
      <c r="AH191" s="46"/>
      <c r="AI191" s="46"/>
      <c r="AJ191" s="74"/>
      <c r="AK191" s="74"/>
      <c r="AL191" s="74"/>
    </row>
    <row r="192" spans="23:38" x14ac:dyDescent="0.3">
      <c r="W192" s="72">
        <v>15</v>
      </c>
      <c r="X192" s="70"/>
      <c r="Y192" s="70"/>
      <c r="Z192" s="70"/>
      <c r="AA192" s="70"/>
      <c r="AB192" s="70"/>
      <c r="AC192" s="70"/>
      <c r="AD192" s="70"/>
      <c r="AE192" s="70"/>
      <c r="AF192" s="70"/>
      <c r="AG192" s="46"/>
      <c r="AH192" s="46"/>
      <c r="AI192" s="46"/>
      <c r="AJ192" s="70"/>
      <c r="AK192" s="70"/>
      <c r="AL192" s="70"/>
    </row>
    <row r="193" spans="23:38" x14ac:dyDescent="0.3">
      <c r="W193" s="72"/>
      <c r="X193" s="70"/>
      <c r="Y193" s="70"/>
      <c r="Z193" s="70"/>
      <c r="AA193" s="70"/>
      <c r="AB193" s="70"/>
      <c r="AC193" s="70"/>
      <c r="AD193" s="70"/>
      <c r="AE193" s="70"/>
      <c r="AF193" s="70"/>
      <c r="AG193" s="46"/>
      <c r="AH193" s="46"/>
      <c r="AI193" s="46"/>
      <c r="AJ193" s="70"/>
      <c r="AK193" s="70"/>
      <c r="AL193" s="70"/>
    </row>
    <row r="194" spans="23:38" x14ac:dyDescent="0.3">
      <c r="W194" s="72"/>
      <c r="X194" s="74"/>
      <c r="Y194" s="74"/>
      <c r="Z194" s="74"/>
      <c r="AA194" s="74"/>
      <c r="AB194" s="74"/>
      <c r="AC194" s="74"/>
      <c r="AD194" s="74"/>
      <c r="AE194" s="74"/>
      <c r="AF194" s="74"/>
      <c r="AG194" s="46"/>
      <c r="AH194" s="46"/>
      <c r="AI194" s="46"/>
      <c r="AJ194" s="74"/>
      <c r="AK194" s="74"/>
      <c r="AL194" s="74"/>
    </row>
    <row r="195" spans="23:38" x14ac:dyDescent="0.3">
      <c r="W195" s="72">
        <v>16</v>
      </c>
      <c r="X195" s="70"/>
      <c r="Y195" s="70"/>
      <c r="Z195" s="70"/>
      <c r="AA195" s="70"/>
      <c r="AB195" s="70"/>
      <c r="AC195" s="70"/>
      <c r="AD195" s="70"/>
      <c r="AE195" s="70"/>
      <c r="AF195" s="70"/>
      <c r="AG195" s="46"/>
      <c r="AH195" s="46"/>
      <c r="AI195" s="46"/>
      <c r="AJ195" s="70"/>
      <c r="AK195" s="70"/>
      <c r="AL195" s="70"/>
    </row>
    <row r="196" spans="23:38" x14ac:dyDescent="0.3">
      <c r="W196" s="72"/>
      <c r="X196" s="70"/>
      <c r="Y196" s="70"/>
      <c r="Z196" s="70"/>
      <c r="AA196" s="70"/>
      <c r="AB196" s="70"/>
      <c r="AC196" s="70"/>
      <c r="AD196" s="70"/>
      <c r="AE196" s="70"/>
      <c r="AF196" s="70"/>
      <c r="AG196" s="46"/>
      <c r="AH196" s="46"/>
      <c r="AI196" s="46"/>
      <c r="AJ196" s="70"/>
      <c r="AK196" s="70"/>
      <c r="AL196" s="70"/>
    </row>
    <row r="197" spans="23:38" x14ac:dyDescent="0.3">
      <c r="W197" s="72"/>
      <c r="X197" s="74"/>
      <c r="Y197" s="74"/>
      <c r="Z197" s="74"/>
      <c r="AA197" s="74"/>
      <c r="AB197" s="74"/>
      <c r="AC197" s="74"/>
      <c r="AD197" s="74"/>
      <c r="AE197" s="74"/>
      <c r="AF197" s="74"/>
      <c r="AG197" s="46"/>
      <c r="AH197" s="46"/>
      <c r="AI197" s="46"/>
      <c r="AJ197" s="74"/>
      <c r="AK197" s="74"/>
      <c r="AL197" s="74"/>
    </row>
    <row r="198" spans="23:38" x14ac:dyDescent="0.3">
      <c r="W198" s="72">
        <v>17</v>
      </c>
      <c r="X198" s="70"/>
      <c r="Y198" s="70"/>
      <c r="Z198" s="70"/>
      <c r="AA198" s="70"/>
      <c r="AB198" s="70"/>
      <c r="AC198" s="70"/>
      <c r="AD198" s="70"/>
      <c r="AE198" s="70"/>
      <c r="AF198" s="70"/>
      <c r="AG198" s="46"/>
      <c r="AH198" s="46"/>
      <c r="AI198" s="46"/>
      <c r="AJ198" s="70"/>
      <c r="AK198" s="70"/>
      <c r="AL198" s="70"/>
    </row>
    <row r="199" spans="23:38" x14ac:dyDescent="0.3">
      <c r="W199" s="72"/>
      <c r="X199" s="70"/>
      <c r="Y199" s="70"/>
      <c r="Z199" s="70"/>
      <c r="AA199" s="70"/>
      <c r="AB199" s="70"/>
      <c r="AC199" s="70"/>
      <c r="AD199" s="70"/>
      <c r="AE199" s="70"/>
      <c r="AF199" s="70"/>
      <c r="AG199" s="46"/>
      <c r="AH199" s="46"/>
      <c r="AI199" s="46"/>
      <c r="AJ199" s="70"/>
      <c r="AK199" s="70"/>
      <c r="AL199" s="70"/>
    </row>
    <row r="200" spans="23:38" x14ac:dyDescent="0.3"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46"/>
      <c r="AH200" s="46"/>
      <c r="AI200" s="46"/>
      <c r="AJ200" s="72"/>
      <c r="AK200" s="72"/>
      <c r="AL200" s="72"/>
    </row>
    <row r="201" spans="23:38" x14ac:dyDescent="0.3">
      <c r="W201" s="72">
        <v>18</v>
      </c>
      <c r="X201" s="70"/>
      <c r="Y201" s="70"/>
      <c r="Z201" s="70"/>
      <c r="AA201" s="70"/>
      <c r="AB201" s="70"/>
      <c r="AC201" s="70"/>
      <c r="AD201" s="70"/>
      <c r="AE201" s="70"/>
      <c r="AF201" s="70"/>
      <c r="AG201" s="46"/>
      <c r="AH201" s="46"/>
      <c r="AI201" s="46"/>
      <c r="AJ201" s="70"/>
      <c r="AK201" s="70"/>
      <c r="AL201" s="70"/>
    </row>
    <row r="202" spans="23:38" x14ac:dyDescent="0.3">
      <c r="W202" s="72"/>
      <c r="X202" s="70"/>
      <c r="Y202" s="70"/>
      <c r="Z202" s="70"/>
      <c r="AA202" s="70"/>
      <c r="AB202" s="70"/>
      <c r="AC202" s="70"/>
      <c r="AD202" s="70"/>
      <c r="AE202" s="70"/>
      <c r="AF202" s="70"/>
      <c r="AG202" s="46"/>
      <c r="AH202" s="46"/>
      <c r="AI202" s="46"/>
      <c r="AJ202" s="70"/>
      <c r="AK202" s="70"/>
      <c r="AL202" s="70"/>
    </row>
    <row r="203" spans="23:38" x14ac:dyDescent="0.3"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46"/>
      <c r="AH203" s="46"/>
      <c r="AI203" s="46"/>
      <c r="AJ203" s="72"/>
      <c r="AK203" s="72"/>
      <c r="AL203" s="72"/>
    </row>
    <row r="204" spans="23:38" x14ac:dyDescent="0.3">
      <c r="W204" s="72">
        <v>19</v>
      </c>
      <c r="X204" s="70"/>
      <c r="Y204" s="70"/>
      <c r="Z204" s="70"/>
      <c r="AA204" s="70"/>
      <c r="AB204" s="70"/>
      <c r="AC204" s="70"/>
      <c r="AD204" s="70"/>
      <c r="AE204" s="70"/>
      <c r="AF204" s="70"/>
      <c r="AG204" s="46"/>
      <c r="AH204" s="46"/>
      <c r="AI204" s="46"/>
      <c r="AJ204" s="70"/>
      <c r="AK204" s="70"/>
      <c r="AL204" s="70"/>
    </row>
    <row r="205" spans="23:38" x14ac:dyDescent="0.3">
      <c r="W205" s="72"/>
      <c r="X205" s="70"/>
      <c r="Y205" s="70"/>
      <c r="Z205" s="70"/>
      <c r="AA205" s="70"/>
      <c r="AB205" s="70"/>
      <c r="AC205" s="70"/>
      <c r="AD205" s="70"/>
      <c r="AE205" s="70"/>
      <c r="AF205" s="70"/>
      <c r="AG205" s="46"/>
      <c r="AH205" s="46"/>
      <c r="AI205" s="46"/>
      <c r="AJ205" s="70"/>
      <c r="AK205" s="70"/>
      <c r="AL205" s="70"/>
    </row>
    <row r="206" spans="23:38" x14ac:dyDescent="0.3"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46"/>
      <c r="AH206" s="46"/>
      <c r="AI206" s="46"/>
      <c r="AJ206" s="72"/>
      <c r="AK206" s="72"/>
      <c r="AL206" s="72"/>
    </row>
    <row r="207" spans="23:38" x14ac:dyDescent="0.3">
      <c r="W207" s="72">
        <v>20</v>
      </c>
      <c r="X207" s="70"/>
      <c r="Y207" s="70"/>
      <c r="Z207" s="70"/>
      <c r="AA207" s="70"/>
      <c r="AB207" s="70"/>
      <c r="AC207" s="70"/>
      <c r="AD207" s="70"/>
      <c r="AE207" s="73"/>
      <c r="AF207" s="70"/>
      <c r="AG207" s="46"/>
      <c r="AH207" s="46"/>
      <c r="AI207" s="46"/>
      <c r="AJ207" s="70"/>
      <c r="AK207" s="70"/>
      <c r="AL207" s="70"/>
    </row>
    <row r="208" spans="23:38" x14ac:dyDescent="0.3">
      <c r="W208" s="72"/>
      <c r="X208" s="70"/>
      <c r="Y208" s="70"/>
      <c r="Z208" s="70"/>
      <c r="AA208" s="70"/>
      <c r="AB208" s="70"/>
      <c r="AC208" s="70"/>
      <c r="AD208" s="70"/>
      <c r="AE208" s="70"/>
      <c r="AF208" s="70"/>
      <c r="AG208" s="46"/>
      <c r="AH208" s="46"/>
      <c r="AI208" s="46"/>
      <c r="AJ208" s="70"/>
      <c r="AK208" s="70"/>
      <c r="AL208" s="70"/>
    </row>
    <row r="209" spans="23:38" x14ac:dyDescent="0.3"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46"/>
      <c r="AH209" s="46"/>
      <c r="AI209" s="46"/>
      <c r="AJ209" s="72"/>
      <c r="AK209" s="72"/>
      <c r="AL209" s="72"/>
    </row>
    <row r="210" spans="23:38" x14ac:dyDescent="0.3">
      <c r="W210" s="72">
        <v>21</v>
      </c>
      <c r="X210" s="70"/>
      <c r="Y210" s="70"/>
      <c r="Z210" s="70"/>
      <c r="AA210" s="70"/>
      <c r="AB210" s="70"/>
      <c r="AC210" s="70"/>
      <c r="AD210" s="70"/>
      <c r="AE210" s="70"/>
      <c r="AF210" s="70"/>
      <c r="AG210" s="46"/>
      <c r="AH210" s="46"/>
      <c r="AI210" s="46"/>
      <c r="AJ210" s="70"/>
      <c r="AK210" s="70"/>
      <c r="AL210" s="70"/>
    </row>
    <row r="211" spans="23:38" x14ac:dyDescent="0.3">
      <c r="W211" s="72"/>
      <c r="X211" s="70"/>
      <c r="Y211" s="70"/>
      <c r="Z211" s="70"/>
      <c r="AA211" s="70"/>
      <c r="AB211" s="70"/>
      <c r="AC211" s="70"/>
      <c r="AD211" s="70"/>
      <c r="AE211" s="70"/>
      <c r="AF211" s="70"/>
      <c r="AG211" s="46"/>
      <c r="AH211" s="46"/>
      <c r="AI211" s="46"/>
      <c r="AJ211" s="70"/>
      <c r="AK211" s="70"/>
      <c r="AL211" s="70"/>
    </row>
    <row r="212" spans="23:38" x14ac:dyDescent="0.3"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46"/>
      <c r="AH212" s="46"/>
      <c r="AI212" s="46"/>
      <c r="AJ212" s="72"/>
      <c r="AK212" s="72"/>
      <c r="AL212" s="72"/>
    </row>
    <row r="213" spans="23:38" x14ac:dyDescent="0.3"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46"/>
      <c r="AH213" s="46"/>
      <c r="AI213" s="46"/>
      <c r="AJ213" s="72"/>
      <c r="AK213" s="72"/>
      <c r="AL213" s="72"/>
    </row>
    <row r="214" spans="23:38" x14ac:dyDescent="0.3"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46"/>
      <c r="AH214" s="46"/>
      <c r="AI214" s="46"/>
      <c r="AJ214" s="72"/>
      <c r="AK214" s="72"/>
      <c r="AL214" s="72"/>
    </row>
    <row r="215" spans="23:38" ht="21" x14ac:dyDescent="0.4">
      <c r="W215" s="72"/>
      <c r="X215" s="43"/>
      <c r="Y215" s="43"/>
      <c r="Z215" s="43"/>
      <c r="AA215" s="43"/>
      <c r="AB215" s="43"/>
      <c r="AC215" s="43"/>
      <c r="AD215" s="43"/>
      <c r="AE215" s="43"/>
      <c r="AF215" s="43"/>
      <c r="AG215" s="49"/>
      <c r="AH215" s="49"/>
      <c r="AI215" s="49"/>
      <c r="AJ215" s="43"/>
      <c r="AK215" s="43"/>
      <c r="AL215" s="43"/>
    </row>
    <row r="216" spans="23:38" ht="21" x14ac:dyDescent="0.4">
      <c r="W216" s="72"/>
      <c r="X216" s="43"/>
      <c r="Y216" s="43"/>
      <c r="Z216" s="43"/>
      <c r="AA216" s="43"/>
      <c r="AB216" s="43"/>
      <c r="AC216" s="43"/>
      <c r="AD216" s="43"/>
      <c r="AE216" s="43"/>
      <c r="AF216" s="43"/>
      <c r="AG216" s="49"/>
      <c r="AH216" s="49"/>
      <c r="AI216" s="49"/>
      <c r="AJ216" s="43"/>
      <c r="AK216" s="43"/>
      <c r="AL216" s="43"/>
    </row>
    <row r="219" spans="23:38" x14ac:dyDescent="0.3">
      <c r="W219" s="373" t="s">
        <v>423</v>
      </c>
      <c r="X219" s="373"/>
      <c r="Y219" s="373"/>
      <c r="Z219" s="373"/>
      <c r="AA219" s="373"/>
      <c r="AB219" s="373"/>
      <c r="AC219" s="373"/>
      <c r="AD219" s="373"/>
      <c r="AE219" s="373"/>
      <c r="AF219" s="373"/>
      <c r="AG219" s="373"/>
      <c r="AH219" s="373"/>
      <c r="AI219" s="373"/>
      <c r="AJ219" s="373"/>
      <c r="AK219" s="373"/>
      <c r="AL219" s="373"/>
    </row>
    <row r="220" spans="23:38" x14ac:dyDescent="0.3"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</row>
    <row r="221" spans="23:38" x14ac:dyDescent="0.3">
      <c r="W221" s="72"/>
      <c r="X221" s="72" t="s">
        <v>12</v>
      </c>
      <c r="Y221" s="72" t="s">
        <v>11</v>
      </c>
      <c r="Z221" s="72" t="s">
        <v>10</v>
      </c>
      <c r="AA221" s="72" t="s">
        <v>192</v>
      </c>
      <c r="AB221" s="72" t="s">
        <v>9</v>
      </c>
      <c r="AC221" s="72" t="s">
        <v>15</v>
      </c>
      <c r="AD221" s="72" t="s">
        <v>14</v>
      </c>
      <c r="AE221" s="72" t="s">
        <v>13</v>
      </c>
      <c r="AF221" s="72" t="s">
        <v>16</v>
      </c>
      <c r="AG221" s="46" t="s">
        <v>230</v>
      </c>
      <c r="AH221" s="46" t="s">
        <v>230</v>
      </c>
      <c r="AI221" s="46" t="s">
        <v>230</v>
      </c>
      <c r="AJ221" s="72" t="s">
        <v>226</v>
      </c>
      <c r="AK221" s="72" t="s">
        <v>227</v>
      </c>
      <c r="AL221" s="72" t="s">
        <v>228</v>
      </c>
    </row>
    <row r="222" spans="23:38" x14ac:dyDescent="0.3">
      <c r="W222" s="72">
        <v>1</v>
      </c>
      <c r="X222" s="70"/>
      <c r="Y222" s="70"/>
      <c r="Z222" s="70"/>
      <c r="AA222" s="70"/>
      <c r="AB222" s="70"/>
      <c r="AC222" s="70"/>
      <c r="AD222" s="70"/>
      <c r="AE222" s="70"/>
      <c r="AF222" s="70"/>
      <c r="AG222" s="46"/>
      <c r="AH222" s="46"/>
      <c r="AI222" s="46"/>
      <c r="AJ222" s="70"/>
      <c r="AK222" s="70"/>
      <c r="AL222" s="70"/>
    </row>
    <row r="223" spans="23:38" x14ac:dyDescent="0.3">
      <c r="W223" s="71"/>
      <c r="X223" s="73"/>
      <c r="Y223" s="73"/>
      <c r="Z223" s="73"/>
      <c r="AA223" s="73"/>
      <c r="AB223" s="73"/>
      <c r="AC223" s="73"/>
      <c r="AD223" s="73"/>
      <c r="AE223" s="73"/>
      <c r="AF223" s="73"/>
      <c r="AG223" s="75"/>
      <c r="AH223" s="75"/>
      <c r="AI223" s="75"/>
      <c r="AJ223" s="73"/>
      <c r="AK223" s="73"/>
      <c r="AL223" s="73"/>
    </row>
    <row r="224" spans="23:38" x14ac:dyDescent="0.3">
      <c r="W224" s="72"/>
      <c r="X224" s="74"/>
      <c r="Y224" s="74"/>
      <c r="Z224" s="74"/>
      <c r="AA224" s="74"/>
      <c r="AB224" s="74"/>
      <c r="AC224" s="74"/>
      <c r="AD224" s="74"/>
      <c r="AE224" s="74"/>
      <c r="AF224" s="74"/>
      <c r="AG224" s="46"/>
      <c r="AH224" s="46"/>
      <c r="AI224" s="46"/>
      <c r="AJ224" s="74"/>
      <c r="AK224" s="74"/>
      <c r="AL224" s="74"/>
    </row>
    <row r="225" spans="23:38" x14ac:dyDescent="0.3">
      <c r="W225" s="72">
        <v>2</v>
      </c>
      <c r="X225" s="70"/>
      <c r="Y225" s="70"/>
      <c r="Z225" s="70"/>
      <c r="AA225" s="70"/>
      <c r="AB225" s="70"/>
      <c r="AC225" s="70"/>
      <c r="AD225" s="70"/>
      <c r="AE225" s="70"/>
      <c r="AF225" s="70"/>
      <c r="AG225" s="46"/>
      <c r="AH225" s="46"/>
      <c r="AI225" s="46"/>
      <c r="AJ225" s="70"/>
      <c r="AK225" s="70"/>
      <c r="AL225" s="70"/>
    </row>
    <row r="226" spans="23:38" x14ac:dyDescent="0.3">
      <c r="W226" s="72"/>
      <c r="X226" s="70"/>
      <c r="Y226" s="70"/>
      <c r="Z226" s="70"/>
      <c r="AA226" s="70"/>
      <c r="AB226" s="70"/>
      <c r="AC226" s="70"/>
      <c r="AD226" s="70"/>
      <c r="AE226" s="70"/>
      <c r="AF226" s="70"/>
      <c r="AG226" s="46"/>
      <c r="AH226" s="46"/>
      <c r="AI226" s="46"/>
      <c r="AJ226" s="70"/>
      <c r="AK226" s="70"/>
      <c r="AL226" s="70"/>
    </row>
    <row r="227" spans="23:38" x14ac:dyDescent="0.3">
      <c r="W227" s="72"/>
      <c r="X227" s="74"/>
      <c r="Y227" s="74"/>
      <c r="Z227" s="74"/>
      <c r="AA227" s="74"/>
      <c r="AB227" s="74"/>
      <c r="AC227" s="74"/>
      <c r="AD227" s="74"/>
      <c r="AE227" s="74"/>
      <c r="AF227" s="74"/>
      <c r="AG227" s="46"/>
      <c r="AH227" s="46"/>
      <c r="AI227" s="46"/>
      <c r="AJ227" s="74"/>
      <c r="AK227" s="74"/>
      <c r="AL227" s="74"/>
    </row>
    <row r="228" spans="23:38" x14ac:dyDescent="0.3">
      <c r="W228" s="72">
        <v>3</v>
      </c>
      <c r="X228" s="70"/>
      <c r="Y228" s="70"/>
      <c r="Z228" s="70"/>
      <c r="AA228" s="70"/>
      <c r="AB228" s="70"/>
      <c r="AC228" s="70"/>
      <c r="AD228" s="70"/>
      <c r="AE228" s="70"/>
      <c r="AF228" s="70"/>
      <c r="AG228" s="46"/>
      <c r="AH228" s="46"/>
      <c r="AI228" s="46"/>
      <c r="AJ228" s="70"/>
      <c r="AK228" s="70"/>
      <c r="AL228" s="70"/>
    </row>
    <row r="229" spans="23:38" x14ac:dyDescent="0.3">
      <c r="W229" s="72"/>
      <c r="X229" s="70"/>
      <c r="Y229" s="70"/>
      <c r="Z229" s="70"/>
      <c r="AA229" s="70"/>
      <c r="AB229" s="70"/>
      <c r="AC229" s="70"/>
      <c r="AD229" s="70"/>
      <c r="AE229" s="70"/>
      <c r="AF229" s="70"/>
      <c r="AG229" s="46"/>
      <c r="AH229" s="46"/>
      <c r="AI229" s="46"/>
      <c r="AJ229" s="70"/>
      <c r="AK229" s="70"/>
      <c r="AL229" s="70"/>
    </row>
    <row r="230" spans="23:38" x14ac:dyDescent="0.3">
      <c r="W230" s="72"/>
      <c r="X230" s="74"/>
      <c r="Y230" s="74"/>
      <c r="Z230" s="74"/>
      <c r="AA230" s="74"/>
      <c r="AB230" s="74"/>
      <c r="AC230" s="74"/>
      <c r="AD230" s="74"/>
      <c r="AE230" s="74"/>
      <c r="AF230" s="74"/>
      <c r="AG230" s="46"/>
      <c r="AH230" s="46"/>
      <c r="AI230" s="46"/>
      <c r="AJ230" s="74"/>
      <c r="AK230" s="74"/>
      <c r="AL230" s="74"/>
    </row>
    <row r="231" spans="23:38" x14ac:dyDescent="0.3">
      <c r="W231" s="72">
        <v>4</v>
      </c>
      <c r="X231" s="70"/>
      <c r="Y231" s="70"/>
      <c r="Z231" s="70"/>
      <c r="AA231" s="70"/>
      <c r="AB231" s="70"/>
      <c r="AC231" s="70"/>
      <c r="AD231" s="70"/>
      <c r="AE231" s="70"/>
      <c r="AF231" s="70"/>
      <c r="AG231" s="46"/>
      <c r="AH231" s="46"/>
      <c r="AI231" s="46"/>
      <c r="AJ231" s="70"/>
      <c r="AK231" s="70"/>
      <c r="AL231" s="70"/>
    </row>
    <row r="232" spans="23:38" x14ac:dyDescent="0.3">
      <c r="W232" s="72"/>
      <c r="X232" s="70"/>
      <c r="Y232" s="70"/>
      <c r="Z232" s="70"/>
      <c r="AA232" s="70"/>
      <c r="AB232" s="70"/>
      <c r="AC232" s="70"/>
      <c r="AD232" s="70"/>
      <c r="AE232" s="70"/>
      <c r="AF232" s="70"/>
      <c r="AG232" s="46"/>
      <c r="AH232" s="46"/>
      <c r="AI232" s="46"/>
      <c r="AJ232" s="70"/>
      <c r="AK232" s="70"/>
      <c r="AL232" s="70"/>
    </row>
    <row r="233" spans="23:38" x14ac:dyDescent="0.3">
      <c r="W233" s="72"/>
      <c r="X233" s="74"/>
      <c r="Y233" s="74"/>
      <c r="Z233" s="74"/>
      <c r="AA233" s="74"/>
      <c r="AB233" s="74"/>
      <c r="AC233" s="74"/>
      <c r="AD233" s="74"/>
      <c r="AE233" s="74"/>
      <c r="AF233" s="74"/>
      <c r="AG233" s="46"/>
      <c r="AH233" s="46"/>
      <c r="AI233" s="46"/>
      <c r="AJ233" s="74"/>
      <c r="AK233" s="74"/>
      <c r="AL233" s="74"/>
    </row>
    <row r="234" spans="23:38" x14ac:dyDescent="0.3">
      <c r="W234" s="72">
        <v>5</v>
      </c>
      <c r="X234" s="70"/>
      <c r="Y234" s="70"/>
      <c r="Z234" s="70"/>
      <c r="AA234" s="70"/>
      <c r="AB234" s="70"/>
      <c r="AC234" s="70"/>
      <c r="AD234" s="70"/>
      <c r="AE234" s="70"/>
      <c r="AF234" s="70"/>
      <c r="AG234" s="46"/>
      <c r="AH234" s="46"/>
      <c r="AI234" s="46"/>
      <c r="AJ234" s="70"/>
      <c r="AK234" s="70"/>
      <c r="AL234" s="70"/>
    </row>
    <row r="235" spans="23:38" x14ac:dyDescent="0.3">
      <c r="W235" s="72"/>
      <c r="X235" s="70"/>
      <c r="Y235" s="70"/>
      <c r="Z235" s="70"/>
      <c r="AA235" s="70"/>
      <c r="AB235" s="70"/>
      <c r="AC235" s="70"/>
      <c r="AD235" s="70"/>
      <c r="AE235" s="70"/>
      <c r="AF235" s="70"/>
      <c r="AG235" s="46"/>
      <c r="AH235" s="46"/>
      <c r="AI235" s="46"/>
      <c r="AJ235" s="70"/>
      <c r="AK235" s="70"/>
      <c r="AL235" s="70"/>
    </row>
    <row r="236" spans="23:38" x14ac:dyDescent="0.3">
      <c r="W236" s="72"/>
      <c r="X236" s="74"/>
      <c r="Y236" s="74"/>
      <c r="Z236" s="74"/>
      <c r="AA236" s="74"/>
      <c r="AB236" s="74"/>
      <c r="AC236" s="74"/>
      <c r="AD236" s="74"/>
      <c r="AE236" s="74"/>
      <c r="AF236" s="74"/>
      <c r="AG236" s="46"/>
      <c r="AH236" s="46"/>
      <c r="AI236" s="46"/>
      <c r="AJ236" s="74"/>
      <c r="AK236" s="74"/>
      <c r="AL236" s="74"/>
    </row>
    <row r="237" spans="23:38" x14ac:dyDescent="0.3">
      <c r="W237" s="72">
        <v>6</v>
      </c>
      <c r="X237" s="70"/>
      <c r="Y237" s="70"/>
      <c r="Z237" s="70"/>
      <c r="AA237" s="70"/>
      <c r="AB237" s="70"/>
      <c r="AC237" s="70"/>
      <c r="AD237" s="70"/>
      <c r="AE237" s="70"/>
      <c r="AF237" s="70"/>
      <c r="AG237" s="46"/>
      <c r="AH237" s="46"/>
      <c r="AI237" s="46"/>
      <c r="AJ237" s="70"/>
      <c r="AK237" s="70"/>
      <c r="AL237" s="70"/>
    </row>
    <row r="238" spans="23:38" x14ac:dyDescent="0.3">
      <c r="W238" s="72"/>
      <c r="X238" s="70"/>
      <c r="Y238" s="70"/>
      <c r="Z238" s="70"/>
      <c r="AA238" s="70"/>
      <c r="AB238" s="70"/>
      <c r="AC238" s="70"/>
      <c r="AD238" s="70"/>
      <c r="AE238" s="70"/>
      <c r="AF238" s="70"/>
      <c r="AG238" s="46"/>
      <c r="AH238" s="46"/>
      <c r="AI238" s="46"/>
      <c r="AJ238" s="70"/>
      <c r="AK238" s="70"/>
      <c r="AL238" s="70"/>
    </row>
    <row r="239" spans="23:38" x14ac:dyDescent="0.3">
      <c r="W239" s="72"/>
      <c r="X239" s="74"/>
      <c r="Y239" s="74"/>
      <c r="Z239" s="74"/>
      <c r="AA239" s="74"/>
      <c r="AB239" s="74"/>
      <c r="AC239" s="74"/>
      <c r="AD239" s="74"/>
      <c r="AE239" s="74"/>
      <c r="AF239" s="74"/>
      <c r="AG239" s="46"/>
      <c r="AH239" s="46"/>
      <c r="AI239" s="46"/>
      <c r="AJ239" s="74"/>
      <c r="AK239" s="74"/>
      <c r="AL239" s="74"/>
    </row>
    <row r="240" spans="23:38" x14ac:dyDescent="0.3">
      <c r="W240" s="72">
        <v>7</v>
      </c>
      <c r="X240" s="70"/>
      <c r="Y240" s="70"/>
      <c r="Z240" s="70"/>
      <c r="AA240" s="70"/>
      <c r="AB240" s="70"/>
      <c r="AC240" s="70"/>
      <c r="AD240" s="70"/>
      <c r="AE240" s="70"/>
      <c r="AF240" s="70"/>
      <c r="AG240" s="46"/>
      <c r="AH240" s="46"/>
      <c r="AI240" s="46"/>
      <c r="AJ240" s="70"/>
      <c r="AK240" s="70"/>
      <c r="AL240" s="70"/>
    </row>
    <row r="241" spans="23:38" x14ac:dyDescent="0.3">
      <c r="W241" s="72"/>
      <c r="X241" s="70"/>
      <c r="Y241" s="70"/>
      <c r="Z241" s="70"/>
      <c r="AA241" s="70"/>
      <c r="AB241" s="70"/>
      <c r="AC241" s="70"/>
      <c r="AD241" s="70"/>
      <c r="AE241" s="70"/>
      <c r="AF241" s="70"/>
      <c r="AG241" s="46"/>
      <c r="AH241" s="46"/>
      <c r="AI241" s="46"/>
      <c r="AJ241" s="70"/>
      <c r="AK241" s="70"/>
      <c r="AL241" s="70"/>
    </row>
    <row r="242" spans="23:38" x14ac:dyDescent="0.3"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46"/>
      <c r="AH242" s="46"/>
      <c r="AI242" s="46"/>
      <c r="AJ242" s="72"/>
      <c r="AK242" s="72"/>
      <c r="AL242" s="72"/>
    </row>
    <row r="243" spans="23:38" x14ac:dyDescent="0.3">
      <c r="W243" s="72">
        <v>8</v>
      </c>
      <c r="X243" s="70"/>
      <c r="Y243" s="70"/>
      <c r="Z243" s="70"/>
      <c r="AA243" s="70"/>
      <c r="AB243" s="70"/>
      <c r="AC243" s="70"/>
      <c r="AD243" s="70"/>
      <c r="AE243" s="70"/>
      <c r="AF243" s="70"/>
      <c r="AG243" s="46"/>
      <c r="AH243" s="46"/>
      <c r="AI243" s="46"/>
      <c r="AJ243" s="70"/>
      <c r="AK243" s="70"/>
      <c r="AL243" s="70"/>
    </row>
    <row r="244" spans="23:38" x14ac:dyDescent="0.3">
      <c r="W244" s="72"/>
      <c r="X244" s="70"/>
      <c r="Y244" s="70"/>
      <c r="Z244" s="70"/>
      <c r="AA244" s="70"/>
      <c r="AB244" s="70"/>
      <c r="AC244" s="70"/>
      <c r="AD244" s="70"/>
      <c r="AE244" s="70"/>
      <c r="AF244" s="70"/>
      <c r="AG244" s="46"/>
      <c r="AH244" s="46"/>
      <c r="AI244" s="46"/>
      <c r="AJ244" s="70"/>
      <c r="AK244" s="70"/>
      <c r="AL244" s="70"/>
    </row>
    <row r="245" spans="23:38" x14ac:dyDescent="0.3"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46"/>
      <c r="AH245" s="46"/>
      <c r="AI245" s="46"/>
      <c r="AJ245" s="72"/>
      <c r="AK245" s="72"/>
      <c r="AL245" s="72"/>
    </row>
    <row r="246" spans="23:38" x14ac:dyDescent="0.3">
      <c r="W246" s="72">
        <v>9</v>
      </c>
      <c r="X246" s="70"/>
      <c r="Y246" s="70"/>
      <c r="Z246" s="70"/>
      <c r="AA246" s="70"/>
      <c r="AB246" s="70"/>
      <c r="AC246" s="70"/>
      <c r="AD246" s="70"/>
      <c r="AE246" s="70"/>
      <c r="AF246" s="70"/>
      <c r="AG246" s="46"/>
      <c r="AH246" s="46"/>
      <c r="AI246" s="46"/>
      <c r="AJ246" s="70"/>
      <c r="AK246" s="70"/>
      <c r="AL246" s="70"/>
    </row>
    <row r="247" spans="23:38" x14ac:dyDescent="0.3">
      <c r="W247" s="72"/>
      <c r="X247" s="70"/>
      <c r="Y247" s="70"/>
      <c r="Z247" s="70"/>
      <c r="AA247" s="70"/>
      <c r="AB247" s="70"/>
      <c r="AC247" s="70"/>
      <c r="AD247" s="70"/>
      <c r="AE247" s="70"/>
      <c r="AF247" s="70"/>
      <c r="AG247" s="46"/>
      <c r="AH247" s="46"/>
      <c r="AI247" s="46"/>
      <c r="AJ247" s="70"/>
      <c r="AK247" s="70"/>
      <c r="AL247" s="70"/>
    </row>
    <row r="248" spans="23:38" x14ac:dyDescent="0.3"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46"/>
      <c r="AH248" s="46"/>
      <c r="AI248" s="46"/>
      <c r="AJ248" s="72"/>
      <c r="AK248" s="72"/>
      <c r="AL248" s="72"/>
    </row>
    <row r="249" spans="23:38" x14ac:dyDescent="0.3">
      <c r="W249" s="72">
        <v>10</v>
      </c>
      <c r="X249" s="70"/>
      <c r="Y249" s="70"/>
      <c r="Z249" s="70"/>
      <c r="AA249" s="70"/>
      <c r="AB249" s="70"/>
      <c r="AC249" s="70"/>
      <c r="AD249" s="70"/>
      <c r="AE249" s="70"/>
      <c r="AF249" s="70"/>
      <c r="AG249" s="46"/>
      <c r="AH249" s="46"/>
      <c r="AI249" s="46"/>
      <c r="AJ249" s="70"/>
      <c r="AK249" s="70"/>
      <c r="AL249" s="70"/>
    </row>
    <row r="250" spans="23:38" x14ac:dyDescent="0.3">
      <c r="W250" s="72"/>
      <c r="X250" s="70"/>
      <c r="Y250" s="70"/>
      <c r="Z250" s="70"/>
      <c r="AA250" s="70"/>
      <c r="AB250" s="70"/>
      <c r="AC250" s="70"/>
      <c r="AD250" s="70"/>
      <c r="AE250" s="70"/>
      <c r="AF250" s="70"/>
      <c r="AG250" s="46"/>
      <c r="AH250" s="46"/>
      <c r="AI250" s="46"/>
      <c r="AJ250" s="70"/>
      <c r="AK250" s="70"/>
      <c r="AL250" s="70"/>
    </row>
    <row r="251" spans="23:38" x14ac:dyDescent="0.3"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46"/>
      <c r="AH251" s="46"/>
      <c r="AI251" s="46"/>
      <c r="AJ251" s="72"/>
      <c r="AK251" s="72"/>
      <c r="AL251" s="72"/>
    </row>
    <row r="252" spans="23:38" x14ac:dyDescent="0.3">
      <c r="W252" s="72">
        <v>11</v>
      </c>
      <c r="X252" s="70"/>
      <c r="Y252" s="70"/>
      <c r="Z252" s="70"/>
      <c r="AA252" s="70"/>
      <c r="AB252" s="70"/>
      <c r="AC252" s="70"/>
      <c r="AD252" s="70"/>
      <c r="AE252" s="70"/>
      <c r="AF252" s="70"/>
      <c r="AG252" s="46"/>
      <c r="AH252" s="46"/>
      <c r="AI252" s="46"/>
      <c r="AJ252" s="70"/>
      <c r="AK252" s="70"/>
      <c r="AL252" s="70"/>
    </row>
    <row r="253" spans="23:38" x14ac:dyDescent="0.3">
      <c r="W253" s="72"/>
      <c r="X253" s="70"/>
      <c r="Y253" s="70"/>
      <c r="Z253" s="70"/>
      <c r="AA253" s="70"/>
      <c r="AB253" s="70"/>
      <c r="AC253" s="70"/>
      <c r="AD253" s="70"/>
      <c r="AE253" s="70"/>
      <c r="AF253" s="70"/>
      <c r="AG253" s="46"/>
      <c r="AH253" s="46"/>
      <c r="AI253" s="46"/>
      <c r="AJ253" s="70"/>
      <c r="AK253" s="70"/>
      <c r="AL253" s="70"/>
    </row>
    <row r="254" spans="23:38" x14ac:dyDescent="0.3"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46"/>
      <c r="AH254" s="46"/>
      <c r="AI254" s="46"/>
      <c r="AJ254" s="72"/>
      <c r="AK254" s="72"/>
      <c r="AL254" s="72"/>
    </row>
    <row r="255" spans="23:38" x14ac:dyDescent="0.3">
      <c r="W255" s="72">
        <v>12</v>
      </c>
      <c r="X255" s="70"/>
      <c r="Y255" s="70"/>
      <c r="Z255" s="70"/>
      <c r="AA255" s="70"/>
      <c r="AB255" s="70"/>
      <c r="AC255" s="70"/>
      <c r="AD255" s="70"/>
      <c r="AE255" s="70"/>
      <c r="AF255" s="70"/>
      <c r="AG255" s="46"/>
      <c r="AH255" s="46"/>
      <c r="AI255" s="46"/>
      <c r="AJ255" s="70"/>
      <c r="AK255" s="70"/>
      <c r="AL255" s="70"/>
    </row>
    <row r="256" spans="23:38" x14ac:dyDescent="0.3">
      <c r="W256" s="72"/>
      <c r="X256" s="70"/>
      <c r="Y256" s="70"/>
      <c r="Z256" s="70"/>
      <c r="AA256" s="70"/>
      <c r="AB256" s="70"/>
      <c r="AC256" s="70"/>
      <c r="AD256" s="70"/>
      <c r="AE256" s="70"/>
      <c r="AF256" s="70"/>
      <c r="AG256" s="46"/>
      <c r="AH256" s="46"/>
      <c r="AI256" s="46"/>
      <c r="AJ256" s="70"/>
      <c r="AK256" s="70"/>
      <c r="AL256" s="70"/>
    </row>
    <row r="257" spans="23:38" x14ac:dyDescent="0.3">
      <c r="W257" s="72"/>
      <c r="X257" s="74"/>
      <c r="Y257" s="74"/>
      <c r="Z257" s="74"/>
      <c r="AA257" s="74"/>
      <c r="AB257" s="74"/>
      <c r="AC257" s="74"/>
      <c r="AD257" s="74"/>
      <c r="AE257" s="74"/>
      <c r="AF257" s="74"/>
      <c r="AG257" s="46"/>
      <c r="AH257" s="46"/>
      <c r="AI257" s="46"/>
      <c r="AJ257" s="74"/>
      <c r="AK257" s="74"/>
      <c r="AL257" s="74"/>
    </row>
    <row r="258" spans="23:38" x14ac:dyDescent="0.3">
      <c r="W258" s="72">
        <v>13</v>
      </c>
      <c r="X258" s="70"/>
      <c r="Y258" s="70"/>
      <c r="Z258" s="70"/>
      <c r="AA258" s="70"/>
      <c r="AB258" s="70"/>
      <c r="AC258" s="70"/>
      <c r="AD258" s="70"/>
      <c r="AE258" s="70"/>
      <c r="AF258" s="70"/>
      <c r="AG258" s="46"/>
      <c r="AH258" s="46"/>
      <c r="AI258" s="46"/>
      <c r="AJ258" s="70"/>
      <c r="AK258" s="70"/>
      <c r="AL258" s="70"/>
    </row>
    <row r="259" spans="23:38" x14ac:dyDescent="0.3">
      <c r="W259" s="72"/>
      <c r="X259" s="70"/>
      <c r="Y259" s="70"/>
      <c r="Z259" s="70"/>
      <c r="AA259" s="70"/>
      <c r="AB259" s="70"/>
      <c r="AC259" s="70"/>
      <c r="AD259" s="70"/>
      <c r="AE259" s="70"/>
      <c r="AF259" s="70"/>
      <c r="AG259" s="46"/>
      <c r="AH259" s="46"/>
      <c r="AI259" s="46"/>
      <c r="AJ259" s="70"/>
      <c r="AK259" s="70"/>
      <c r="AL259" s="70"/>
    </row>
    <row r="260" spans="23:38" x14ac:dyDescent="0.3">
      <c r="W260" s="72"/>
      <c r="X260" s="74"/>
      <c r="Y260" s="74"/>
      <c r="Z260" s="74"/>
      <c r="AA260" s="74"/>
      <c r="AB260" s="74"/>
      <c r="AC260" s="74"/>
      <c r="AD260" s="74"/>
      <c r="AE260" s="74"/>
      <c r="AF260" s="74"/>
      <c r="AG260" s="46"/>
      <c r="AH260" s="46"/>
      <c r="AI260" s="46"/>
      <c r="AJ260" s="74"/>
      <c r="AK260" s="74"/>
      <c r="AL260" s="74"/>
    </row>
    <row r="261" spans="23:38" x14ac:dyDescent="0.3">
      <c r="W261" s="72">
        <v>14</v>
      </c>
      <c r="X261" s="70"/>
      <c r="Y261" s="70"/>
      <c r="Z261" s="70"/>
      <c r="AA261" s="70"/>
      <c r="AB261" s="70"/>
      <c r="AC261" s="70"/>
      <c r="AD261" s="70"/>
      <c r="AE261" s="70"/>
      <c r="AF261" s="70"/>
      <c r="AG261" s="46"/>
      <c r="AH261" s="46"/>
      <c r="AI261" s="46"/>
      <c r="AJ261" s="70"/>
      <c r="AK261" s="70"/>
      <c r="AL261" s="70"/>
    </row>
    <row r="262" spans="23:38" x14ac:dyDescent="0.3">
      <c r="W262" s="72"/>
      <c r="X262" s="70"/>
      <c r="Y262" s="70"/>
      <c r="Z262" s="70"/>
      <c r="AA262" s="70"/>
      <c r="AB262" s="70"/>
      <c r="AC262" s="70"/>
      <c r="AD262" s="70"/>
      <c r="AE262" s="70"/>
      <c r="AF262" s="70"/>
      <c r="AG262" s="46"/>
      <c r="AH262" s="46"/>
      <c r="AI262" s="46"/>
      <c r="AJ262" s="70"/>
      <c r="AK262" s="70"/>
      <c r="AL262" s="70"/>
    </row>
    <row r="263" spans="23:38" x14ac:dyDescent="0.3">
      <c r="W263" s="72"/>
      <c r="X263" s="74"/>
      <c r="Y263" s="74"/>
      <c r="Z263" s="74"/>
      <c r="AA263" s="74"/>
      <c r="AB263" s="74"/>
      <c r="AC263" s="74"/>
      <c r="AD263" s="74"/>
      <c r="AE263" s="74"/>
      <c r="AF263" s="74"/>
      <c r="AG263" s="46"/>
      <c r="AH263" s="46"/>
      <c r="AI263" s="46"/>
      <c r="AJ263" s="74"/>
      <c r="AK263" s="74"/>
      <c r="AL263" s="74"/>
    </row>
    <row r="264" spans="23:38" x14ac:dyDescent="0.3">
      <c r="W264" s="72">
        <v>15</v>
      </c>
      <c r="X264" s="70"/>
      <c r="Y264" s="70"/>
      <c r="Z264" s="70"/>
      <c r="AA264" s="70"/>
      <c r="AB264" s="70"/>
      <c r="AC264" s="70"/>
      <c r="AD264" s="70"/>
      <c r="AE264" s="70"/>
      <c r="AF264" s="70"/>
      <c r="AG264" s="46"/>
      <c r="AH264" s="46"/>
      <c r="AI264" s="46"/>
      <c r="AJ264" s="70"/>
      <c r="AK264" s="70"/>
      <c r="AL264" s="70"/>
    </row>
    <row r="265" spans="23:38" x14ac:dyDescent="0.3">
      <c r="W265" s="72"/>
      <c r="X265" s="70"/>
      <c r="Y265" s="70"/>
      <c r="Z265" s="70"/>
      <c r="AA265" s="70"/>
      <c r="AB265" s="70"/>
      <c r="AC265" s="70"/>
      <c r="AD265" s="70"/>
      <c r="AE265" s="70"/>
      <c r="AF265" s="70"/>
      <c r="AG265" s="46"/>
      <c r="AH265" s="46"/>
      <c r="AI265" s="46"/>
      <c r="AJ265" s="70"/>
      <c r="AK265" s="70"/>
      <c r="AL265" s="70"/>
    </row>
    <row r="266" spans="23:38" x14ac:dyDescent="0.3">
      <c r="W266" s="72"/>
      <c r="X266" s="74"/>
      <c r="Y266" s="74"/>
      <c r="Z266" s="74"/>
      <c r="AA266" s="74"/>
      <c r="AB266" s="74"/>
      <c r="AC266" s="74"/>
      <c r="AD266" s="74"/>
      <c r="AE266" s="74"/>
      <c r="AF266" s="74"/>
      <c r="AG266" s="46"/>
      <c r="AH266" s="46"/>
      <c r="AI266" s="46"/>
      <c r="AJ266" s="74"/>
      <c r="AK266" s="74"/>
      <c r="AL266" s="74"/>
    </row>
    <row r="267" spans="23:38" x14ac:dyDescent="0.3">
      <c r="W267" s="72">
        <v>16</v>
      </c>
      <c r="X267" s="70"/>
      <c r="Y267" s="70"/>
      <c r="Z267" s="70"/>
      <c r="AA267" s="70"/>
      <c r="AB267" s="70"/>
      <c r="AC267" s="70"/>
      <c r="AD267" s="70"/>
      <c r="AE267" s="70"/>
      <c r="AF267" s="70"/>
      <c r="AG267" s="46"/>
      <c r="AH267" s="46"/>
      <c r="AI267" s="46"/>
      <c r="AJ267" s="70"/>
      <c r="AK267" s="70"/>
      <c r="AL267" s="70"/>
    </row>
    <row r="268" spans="23:38" x14ac:dyDescent="0.3">
      <c r="W268" s="72"/>
      <c r="X268" s="70"/>
      <c r="Y268" s="70"/>
      <c r="Z268" s="70"/>
      <c r="AA268" s="70"/>
      <c r="AB268" s="70"/>
      <c r="AC268" s="70"/>
      <c r="AD268" s="70"/>
      <c r="AE268" s="70"/>
      <c r="AF268" s="70"/>
      <c r="AG268" s="46"/>
      <c r="AH268" s="46"/>
      <c r="AI268" s="46"/>
      <c r="AJ268" s="70"/>
      <c r="AK268" s="70"/>
      <c r="AL268" s="70"/>
    </row>
    <row r="269" spans="23:38" x14ac:dyDescent="0.3">
      <c r="W269" s="72"/>
      <c r="X269" s="74"/>
      <c r="Y269" s="74"/>
      <c r="Z269" s="74"/>
      <c r="AA269" s="74"/>
      <c r="AB269" s="74"/>
      <c r="AC269" s="74"/>
      <c r="AD269" s="74"/>
      <c r="AE269" s="74"/>
      <c r="AF269" s="74"/>
      <c r="AG269" s="46"/>
      <c r="AH269" s="46"/>
      <c r="AI269" s="46"/>
      <c r="AJ269" s="74"/>
      <c r="AK269" s="74"/>
      <c r="AL269" s="74"/>
    </row>
    <row r="270" spans="23:38" x14ac:dyDescent="0.3">
      <c r="W270" s="72">
        <v>17</v>
      </c>
      <c r="X270" s="70"/>
      <c r="Y270" s="70"/>
      <c r="Z270" s="70"/>
      <c r="AA270" s="70"/>
      <c r="AB270" s="70"/>
      <c r="AC270" s="70"/>
      <c r="AD270" s="70"/>
      <c r="AE270" s="70"/>
      <c r="AF270" s="70"/>
      <c r="AG270" s="46"/>
      <c r="AH270" s="46"/>
      <c r="AI270" s="46"/>
      <c r="AJ270" s="70"/>
      <c r="AK270" s="70"/>
      <c r="AL270" s="70"/>
    </row>
    <row r="271" spans="23:38" x14ac:dyDescent="0.3">
      <c r="W271" s="72"/>
      <c r="X271" s="70"/>
      <c r="Y271" s="70"/>
      <c r="Z271" s="70"/>
      <c r="AA271" s="70"/>
      <c r="AB271" s="70"/>
      <c r="AC271" s="70"/>
      <c r="AD271" s="70"/>
      <c r="AE271" s="70"/>
      <c r="AF271" s="70"/>
      <c r="AG271" s="46"/>
      <c r="AH271" s="46"/>
      <c r="AI271" s="46"/>
      <c r="AJ271" s="70"/>
      <c r="AK271" s="70"/>
      <c r="AL271" s="70"/>
    </row>
    <row r="272" spans="23:38" x14ac:dyDescent="0.3"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46"/>
      <c r="AH272" s="46"/>
      <c r="AI272" s="46"/>
      <c r="AJ272" s="72"/>
      <c r="AK272" s="72"/>
      <c r="AL272" s="72"/>
    </row>
    <row r="273" spans="23:38" x14ac:dyDescent="0.3">
      <c r="W273" s="72">
        <v>18</v>
      </c>
      <c r="X273" s="70"/>
      <c r="Y273" s="70"/>
      <c r="Z273" s="70"/>
      <c r="AA273" s="70"/>
      <c r="AB273" s="70"/>
      <c r="AC273" s="70"/>
      <c r="AD273" s="70"/>
      <c r="AE273" s="70"/>
      <c r="AF273" s="70"/>
      <c r="AG273" s="46"/>
      <c r="AH273" s="46"/>
      <c r="AI273" s="46"/>
      <c r="AJ273" s="70"/>
      <c r="AK273" s="70"/>
      <c r="AL273" s="70"/>
    </row>
    <row r="274" spans="23:38" x14ac:dyDescent="0.3">
      <c r="W274" s="72"/>
      <c r="X274" s="70"/>
      <c r="Y274" s="70"/>
      <c r="Z274" s="70"/>
      <c r="AA274" s="70"/>
      <c r="AB274" s="70"/>
      <c r="AC274" s="70"/>
      <c r="AD274" s="70"/>
      <c r="AE274" s="70"/>
      <c r="AF274" s="70"/>
      <c r="AG274" s="46"/>
      <c r="AH274" s="46"/>
      <c r="AI274" s="46"/>
      <c r="AJ274" s="70"/>
      <c r="AK274" s="70"/>
      <c r="AL274" s="70"/>
    </row>
    <row r="275" spans="23:38" x14ac:dyDescent="0.3"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46"/>
      <c r="AH275" s="46"/>
      <c r="AI275" s="46"/>
      <c r="AJ275" s="72"/>
      <c r="AK275" s="72"/>
      <c r="AL275" s="72"/>
    </row>
    <row r="276" spans="23:38" x14ac:dyDescent="0.3">
      <c r="W276" s="72">
        <v>19</v>
      </c>
      <c r="X276" s="70"/>
      <c r="Y276" s="70"/>
      <c r="Z276" s="70"/>
      <c r="AA276" s="70"/>
      <c r="AB276" s="70"/>
      <c r="AC276" s="70"/>
      <c r="AD276" s="70"/>
      <c r="AE276" s="70"/>
      <c r="AF276" s="70"/>
      <c r="AG276" s="46"/>
      <c r="AH276" s="46"/>
      <c r="AI276" s="46"/>
      <c r="AJ276" s="70"/>
      <c r="AK276" s="70"/>
      <c r="AL276" s="70"/>
    </row>
    <row r="277" spans="23:38" x14ac:dyDescent="0.3">
      <c r="W277" s="72"/>
      <c r="X277" s="70"/>
      <c r="Y277" s="70"/>
      <c r="Z277" s="70"/>
      <c r="AA277" s="70"/>
      <c r="AB277" s="70"/>
      <c r="AC277" s="70"/>
      <c r="AD277" s="70"/>
      <c r="AE277" s="70"/>
      <c r="AF277" s="70"/>
      <c r="AG277" s="46"/>
      <c r="AH277" s="46"/>
      <c r="AI277" s="46"/>
      <c r="AJ277" s="70"/>
      <c r="AK277" s="70"/>
      <c r="AL277" s="70"/>
    </row>
    <row r="278" spans="23:38" x14ac:dyDescent="0.3"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46"/>
      <c r="AH278" s="46"/>
      <c r="AI278" s="46"/>
      <c r="AJ278" s="72"/>
      <c r="AK278" s="72"/>
      <c r="AL278" s="72"/>
    </row>
    <row r="279" spans="23:38" x14ac:dyDescent="0.3">
      <c r="W279" s="72">
        <v>20</v>
      </c>
      <c r="X279" s="70"/>
      <c r="Y279" s="70"/>
      <c r="Z279" s="70"/>
      <c r="AA279" s="70"/>
      <c r="AB279" s="70"/>
      <c r="AC279" s="70"/>
      <c r="AD279" s="70"/>
      <c r="AE279" s="73"/>
      <c r="AF279" s="70"/>
      <c r="AG279" s="46"/>
      <c r="AH279" s="46"/>
      <c r="AI279" s="46"/>
      <c r="AJ279" s="70"/>
      <c r="AK279" s="70"/>
      <c r="AL279" s="70"/>
    </row>
    <row r="280" spans="23:38" x14ac:dyDescent="0.3">
      <c r="W280" s="72"/>
      <c r="X280" s="70"/>
      <c r="Y280" s="70"/>
      <c r="Z280" s="70"/>
      <c r="AA280" s="70"/>
      <c r="AB280" s="70"/>
      <c r="AC280" s="70"/>
      <c r="AD280" s="70"/>
      <c r="AE280" s="70"/>
      <c r="AF280" s="70"/>
      <c r="AG280" s="46"/>
      <c r="AH280" s="46"/>
      <c r="AI280" s="46"/>
      <c r="AJ280" s="70"/>
      <c r="AK280" s="70"/>
      <c r="AL280" s="70"/>
    </row>
    <row r="281" spans="23:38" x14ac:dyDescent="0.3"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46"/>
      <c r="AH281" s="46"/>
      <c r="AI281" s="46"/>
      <c r="AJ281" s="72"/>
      <c r="AK281" s="72"/>
      <c r="AL281" s="72"/>
    </row>
    <row r="282" spans="23:38" x14ac:dyDescent="0.3">
      <c r="W282" s="72">
        <v>21</v>
      </c>
      <c r="X282" s="70"/>
      <c r="Y282" s="70"/>
      <c r="Z282" s="70"/>
      <c r="AA282" s="70"/>
      <c r="AB282" s="70"/>
      <c r="AC282" s="70"/>
      <c r="AD282" s="70"/>
      <c r="AE282" s="70"/>
      <c r="AF282" s="70"/>
      <c r="AG282" s="46"/>
      <c r="AH282" s="46"/>
      <c r="AI282" s="46"/>
      <c r="AJ282" s="70"/>
      <c r="AK282" s="70"/>
      <c r="AL282" s="70"/>
    </row>
    <row r="283" spans="23:38" x14ac:dyDescent="0.3">
      <c r="W283" s="72"/>
      <c r="X283" s="70"/>
      <c r="Y283" s="70"/>
      <c r="Z283" s="70"/>
      <c r="AA283" s="70"/>
      <c r="AB283" s="70"/>
      <c r="AC283" s="70"/>
      <c r="AD283" s="70"/>
      <c r="AE283" s="70"/>
      <c r="AF283" s="70"/>
      <c r="AG283" s="46"/>
      <c r="AH283" s="46"/>
      <c r="AI283" s="46"/>
      <c r="AJ283" s="70"/>
      <c r="AK283" s="70"/>
      <c r="AL283" s="70"/>
    </row>
    <row r="284" spans="23:38" x14ac:dyDescent="0.3"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46"/>
      <c r="AH284" s="46"/>
      <c r="AI284" s="46"/>
      <c r="AJ284" s="72"/>
      <c r="AK284" s="72"/>
      <c r="AL284" s="72"/>
    </row>
    <row r="285" spans="23:38" x14ac:dyDescent="0.3"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46"/>
      <c r="AH285" s="46"/>
      <c r="AI285" s="46"/>
      <c r="AJ285" s="72"/>
      <c r="AK285" s="72"/>
      <c r="AL285" s="72"/>
    </row>
    <row r="286" spans="23:38" x14ac:dyDescent="0.3"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46"/>
      <c r="AH286" s="46"/>
      <c r="AI286" s="46"/>
      <c r="AJ286" s="72"/>
      <c r="AK286" s="72"/>
      <c r="AL286" s="72"/>
    </row>
    <row r="287" spans="23:38" ht="21" x14ac:dyDescent="0.4">
      <c r="W287" s="72"/>
      <c r="X287" s="43"/>
      <c r="Y287" s="43"/>
      <c r="Z287" s="43"/>
      <c r="AA287" s="43"/>
      <c r="AB287" s="43"/>
      <c r="AC287" s="43"/>
      <c r="AD287" s="43"/>
      <c r="AE287" s="43"/>
      <c r="AF287" s="43"/>
      <c r="AG287" s="49"/>
      <c r="AH287" s="49"/>
      <c r="AI287" s="49"/>
      <c r="AJ287" s="43"/>
      <c r="AK287" s="43"/>
      <c r="AL287" s="43"/>
    </row>
    <row r="288" spans="23:38" ht="21" x14ac:dyDescent="0.4">
      <c r="W288" s="72"/>
      <c r="X288" s="43"/>
      <c r="Y288" s="43"/>
      <c r="Z288" s="43"/>
      <c r="AA288" s="43"/>
      <c r="AB288" s="43"/>
      <c r="AC288" s="43"/>
      <c r="AD288" s="43"/>
      <c r="AE288" s="43"/>
      <c r="AF288" s="43"/>
      <c r="AG288" s="49"/>
      <c r="AH288" s="49"/>
      <c r="AI288" s="49"/>
      <c r="AJ288" s="43"/>
      <c r="AK288" s="43"/>
      <c r="AL288" s="43"/>
    </row>
  </sheetData>
  <mergeCells count="20">
    <mergeCell ref="K1:N1"/>
    <mergeCell ref="AO3:AW3"/>
    <mergeCell ref="W3:AL3"/>
    <mergeCell ref="AZ3:BI3"/>
    <mergeCell ref="BB2:BE2"/>
    <mergeCell ref="W76:AL76"/>
    <mergeCell ref="A64:B77"/>
    <mergeCell ref="W147:AL147"/>
    <mergeCell ref="W219:AL219"/>
    <mergeCell ref="BG29:BH29"/>
    <mergeCell ref="BG54:BH54"/>
    <mergeCell ref="BG79:BH79"/>
    <mergeCell ref="A78:B83"/>
    <mergeCell ref="A84:B105"/>
    <mergeCell ref="A53:B63"/>
    <mergeCell ref="A18:B24"/>
    <mergeCell ref="A25:B34"/>
    <mergeCell ref="A8:B17"/>
    <mergeCell ref="A36:B46"/>
    <mergeCell ref="A47:B52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D2:X109"/>
  <sheetViews>
    <sheetView workbookViewId="0">
      <selection activeCell="K26" sqref="K26"/>
    </sheetView>
  </sheetViews>
  <sheetFormatPr defaultRowHeight="14.4" x14ac:dyDescent="0.3"/>
  <cols>
    <col min="4" max="4" width="20.6640625" style="7" customWidth="1"/>
    <col min="5" max="5" width="1.44140625" customWidth="1"/>
    <col min="6" max="6" width="26.109375" style="7" customWidth="1"/>
    <col min="7" max="7" width="1.6640625" customWidth="1"/>
    <col min="8" max="8" width="26.6640625" style="7" customWidth="1"/>
    <col min="9" max="9" width="22.109375" style="245" customWidth="1"/>
    <col min="10" max="10" width="2" customWidth="1"/>
    <col min="11" max="11" width="30" style="7" customWidth="1"/>
    <col min="13" max="13" width="29.6640625" style="7" customWidth="1"/>
    <col min="14" max="14" width="2.109375" customWidth="1"/>
    <col min="15" max="15" width="1.44140625" customWidth="1"/>
    <col min="16" max="16" width="24.44140625" customWidth="1"/>
    <col min="17" max="17" width="4.109375" customWidth="1"/>
    <col min="18" max="18" width="21.5546875" style="11" customWidth="1"/>
    <col min="19" max="19" width="22.88671875" style="7" customWidth="1"/>
    <col min="21" max="21" width="11.109375" customWidth="1"/>
  </cols>
  <sheetData>
    <row r="2" spans="4:24" s="8" customFormat="1" x14ac:dyDescent="0.3">
      <c r="D2" s="2" t="s">
        <v>35</v>
      </c>
      <c r="F2" s="2" t="s">
        <v>36</v>
      </c>
      <c r="H2" s="2" t="s">
        <v>37</v>
      </c>
      <c r="I2" s="246"/>
      <c r="K2" s="2" t="s">
        <v>38</v>
      </c>
      <c r="M2" s="2" t="s">
        <v>39</v>
      </c>
      <c r="R2" s="10"/>
    </row>
    <row r="3" spans="4:24" s="8" customFormat="1" x14ac:dyDescent="0.3">
      <c r="D3" s="9"/>
      <c r="E3" s="9"/>
      <c r="F3" s="9"/>
      <c r="G3" s="9"/>
      <c r="H3" s="9"/>
      <c r="I3" s="9"/>
      <c r="J3" s="9"/>
      <c r="K3" s="9"/>
      <c r="L3" s="9"/>
      <c r="M3" s="9"/>
      <c r="R3" s="10"/>
    </row>
    <row r="4" spans="4:24" ht="13.5" customHeight="1" x14ac:dyDescent="0.3">
      <c r="D4" s="7" t="s">
        <v>163</v>
      </c>
      <c r="F4" s="51" t="s">
        <v>256</v>
      </c>
      <c r="H4" t="s">
        <v>1203</v>
      </c>
      <c r="M4" s="7" t="s">
        <v>54</v>
      </c>
      <c r="P4" s="12" t="s">
        <v>55</v>
      </c>
    </row>
    <row r="5" spans="4:24" x14ac:dyDescent="0.3">
      <c r="D5" s="7" t="s">
        <v>158</v>
      </c>
      <c r="F5" s="51" t="s">
        <v>257</v>
      </c>
      <c r="H5" t="s">
        <v>1204</v>
      </c>
      <c r="I5" s="245" t="s">
        <v>1226</v>
      </c>
      <c r="M5" s="7" t="s">
        <v>40</v>
      </c>
      <c r="R5" s="10" t="s">
        <v>59</v>
      </c>
      <c r="S5" s="8" t="s">
        <v>131</v>
      </c>
    </row>
    <row r="6" spans="4:24" x14ac:dyDescent="0.3">
      <c r="D6" s="7" t="s">
        <v>151</v>
      </c>
      <c r="F6" s="51" t="s">
        <v>258</v>
      </c>
      <c r="H6" t="s">
        <v>1205</v>
      </c>
      <c r="I6" s="245" t="s">
        <v>1227</v>
      </c>
      <c r="M6" s="7" t="s">
        <v>41</v>
      </c>
    </row>
    <row r="7" spans="4:24" x14ac:dyDescent="0.3">
      <c r="D7" s="7" t="s">
        <v>160</v>
      </c>
      <c r="F7" s="51" t="s">
        <v>259</v>
      </c>
      <c r="H7" t="s">
        <v>1206</v>
      </c>
      <c r="I7" s="245" t="s">
        <v>1228</v>
      </c>
      <c r="R7" s="11" t="s">
        <v>62</v>
      </c>
      <c r="S7" s="7" t="s">
        <v>96</v>
      </c>
    </row>
    <row r="8" spans="4:24" x14ac:dyDescent="0.3">
      <c r="D8" s="7" t="s">
        <v>159</v>
      </c>
      <c r="F8" s="51" t="s">
        <v>260</v>
      </c>
      <c r="H8" t="s">
        <v>1207</v>
      </c>
      <c r="I8" s="245" t="s">
        <v>1229</v>
      </c>
      <c r="P8" s="3" t="s">
        <v>58</v>
      </c>
      <c r="R8" s="11" t="s">
        <v>61</v>
      </c>
      <c r="S8" s="7" t="s">
        <v>134</v>
      </c>
    </row>
    <row r="9" spans="4:24" x14ac:dyDescent="0.3">
      <c r="D9" s="7" t="s">
        <v>164</v>
      </c>
      <c r="F9" s="51" t="s">
        <v>261</v>
      </c>
      <c r="H9" t="s">
        <v>1208</v>
      </c>
      <c r="I9" s="245" t="s">
        <v>1230</v>
      </c>
      <c r="P9" t="s">
        <v>51</v>
      </c>
      <c r="R9" s="11" t="s">
        <v>68</v>
      </c>
      <c r="S9" s="7" t="s">
        <v>133</v>
      </c>
      <c r="T9" s="16"/>
      <c r="U9" s="376" t="s">
        <v>241</v>
      </c>
      <c r="V9" s="376"/>
      <c r="W9" s="376"/>
      <c r="X9" s="16"/>
    </row>
    <row r="10" spans="4:24" x14ac:dyDescent="0.3">
      <c r="D10" s="7" t="s">
        <v>165</v>
      </c>
      <c r="F10" s="51" t="s">
        <v>262</v>
      </c>
      <c r="H10" t="s">
        <v>1209</v>
      </c>
      <c r="P10" t="s">
        <v>52</v>
      </c>
      <c r="R10" s="11" t="s">
        <v>64</v>
      </c>
      <c r="S10" s="7" t="s">
        <v>137</v>
      </c>
      <c r="T10" s="16"/>
      <c r="U10" s="16" t="s">
        <v>233</v>
      </c>
      <c r="V10" s="16" t="s">
        <v>234</v>
      </c>
      <c r="W10" s="16" t="s">
        <v>235</v>
      </c>
      <c r="X10" s="16" t="s">
        <v>236</v>
      </c>
    </row>
    <row r="11" spans="4:24" x14ac:dyDescent="0.3">
      <c r="D11" s="7" t="s">
        <v>142</v>
      </c>
      <c r="F11" s="51" t="s">
        <v>263</v>
      </c>
      <c r="H11" t="s">
        <v>1210</v>
      </c>
      <c r="I11" s="245" t="s">
        <v>1231</v>
      </c>
      <c r="R11" s="11" t="s">
        <v>67</v>
      </c>
      <c r="S11" s="7" t="s">
        <v>141</v>
      </c>
      <c r="T11" s="44" t="s">
        <v>237</v>
      </c>
      <c r="U11" s="16">
        <f>COUNTIF(Summary!H24:J45,"FF*")</f>
        <v>0</v>
      </c>
      <c r="V11" s="16">
        <f>COUNTIF(Summary!M24:O44,"FF*")</f>
        <v>0</v>
      </c>
      <c r="W11" s="16">
        <f>COUNTIF(Summary!Q24:S44,"FF*")</f>
        <v>0</v>
      </c>
      <c r="X11" s="16">
        <f>COUNTIF(Summary!U24:W44,"FF*")</f>
        <v>0</v>
      </c>
    </row>
    <row r="12" spans="4:24" x14ac:dyDescent="0.3">
      <c r="D12" s="7" t="s">
        <v>173</v>
      </c>
      <c r="F12" s="51" t="s">
        <v>264</v>
      </c>
      <c r="H12" t="s">
        <v>1211</v>
      </c>
      <c r="I12" s="245" t="s">
        <v>1232</v>
      </c>
      <c r="R12" s="11" t="s">
        <v>63</v>
      </c>
      <c r="S12" s="7" t="s">
        <v>135</v>
      </c>
      <c r="T12" s="44" t="s">
        <v>238</v>
      </c>
      <c r="U12" s="16">
        <f>COUNTIF(Summary!H24:J44,"CC*")</f>
        <v>0</v>
      </c>
      <c r="V12" s="16">
        <f>COUNTIF(Summary!M24:O44,"CC*")</f>
        <v>0</v>
      </c>
      <c r="W12" s="16">
        <f>COUNTIF(Summary!Q24:S44,"CC*")</f>
        <v>0</v>
      </c>
      <c r="X12" s="16">
        <f>COUNTIF(Summary!U24:W44,"CC*")</f>
        <v>0</v>
      </c>
    </row>
    <row r="13" spans="4:24" x14ac:dyDescent="0.3">
      <c r="D13" s="7" t="s">
        <v>172</v>
      </c>
      <c r="F13" s="56" t="s">
        <v>62</v>
      </c>
      <c r="H13" t="s">
        <v>1212</v>
      </c>
      <c r="I13" s="245" t="s">
        <v>1233</v>
      </c>
      <c r="R13" s="11" t="s">
        <v>65</v>
      </c>
      <c r="S13" s="7" t="s">
        <v>140</v>
      </c>
      <c r="T13" s="44" t="s">
        <v>239</v>
      </c>
      <c r="U13" s="16">
        <f>COUNTIF(Summary!H24:J44,"WC*")</f>
        <v>0</v>
      </c>
      <c r="V13" s="16">
        <f>COUNTIF(Summary!M24:O44,"WC*")</f>
        <v>0</v>
      </c>
      <c r="W13" s="16">
        <f>COUNTIF(Summary!Q24:S44,"WC*")</f>
        <v>0</v>
      </c>
      <c r="X13" s="16">
        <f>COUNTIF(Summary!U24:W44,"WC*")</f>
        <v>0</v>
      </c>
    </row>
    <row r="14" spans="4:24" x14ac:dyDescent="0.3">
      <c r="D14" s="7" t="s">
        <v>171</v>
      </c>
      <c r="F14" s="56" t="s">
        <v>61</v>
      </c>
      <c r="H14" t="s">
        <v>1213</v>
      </c>
      <c r="R14" s="11" t="s">
        <v>69</v>
      </c>
      <c r="S14" s="7" t="s">
        <v>136</v>
      </c>
      <c r="T14" s="44" t="s">
        <v>240</v>
      </c>
      <c r="U14" s="16">
        <f>COUNTIF(Summary!H24:J44,"SC*")</f>
        <v>0</v>
      </c>
      <c r="V14" s="16">
        <f>COUNTIF(Summary!M24:O44,"SC*")</f>
        <v>0</v>
      </c>
      <c r="W14" s="16">
        <f>COUNTIF(Summary!Q24:S44,"SC*")</f>
        <v>0</v>
      </c>
      <c r="X14" s="16">
        <f>COUNTIF(Summary!U24:W44,"SC*")</f>
        <v>0</v>
      </c>
    </row>
    <row r="15" spans="4:24" x14ac:dyDescent="0.3">
      <c r="D15" s="7" t="s">
        <v>167</v>
      </c>
      <c r="F15" s="56" t="s">
        <v>68</v>
      </c>
      <c r="H15" t="s">
        <v>1214</v>
      </c>
      <c r="R15" s="11" t="s">
        <v>66</v>
      </c>
      <c r="S15" s="7" t="s">
        <v>139</v>
      </c>
      <c r="T15" s="16"/>
      <c r="U15" s="16"/>
      <c r="V15" s="16"/>
      <c r="W15" s="16"/>
      <c r="X15" s="16"/>
    </row>
    <row r="16" spans="4:24" x14ac:dyDescent="0.3">
      <c r="D16" s="7" t="s">
        <v>170</v>
      </c>
      <c r="F16" s="56" t="s">
        <v>64</v>
      </c>
      <c r="H16" t="s">
        <v>1215</v>
      </c>
      <c r="I16" s="245" t="s">
        <v>1234</v>
      </c>
      <c r="R16" s="11" t="s">
        <v>60</v>
      </c>
      <c r="S16" s="7" t="s">
        <v>138</v>
      </c>
      <c r="T16" s="16"/>
      <c r="U16" s="45">
        <f>SUM(U11:U15)</f>
        <v>0</v>
      </c>
      <c r="V16" s="45">
        <f>SUM(V11:V15)</f>
        <v>0</v>
      </c>
      <c r="W16" s="45">
        <f>SUM(W11:W15)</f>
        <v>0</v>
      </c>
      <c r="X16" s="45">
        <f>SUM(X11:X15)</f>
        <v>0</v>
      </c>
    </row>
    <row r="17" spans="4:24" x14ac:dyDescent="0.3">
      <c r="D17" s="7" t="s">
        <v>169</v>
      </c>
      <c r="F17" s="56" t="s">
        <v>67</v>
      </c>
      <c r="H17" t="s">
        <v>1216</v>
      </c>
      <c r="S17" s="7" t="s">
        <v>132</v>
      </c>
      <c r="T17" s="16"/>
      <c r="U17" s="16"/>
      <c r="V17" s="16"/>
      <c r="W17" s="16"/>
      <c r="X17" s="16"/>
    </row>
    <row r="18" spans="4:24" x14ac:dyDescent="0.3">
      <c r="D18" s="7" t="s">
        <v>168</v>
      </c>
      <c r="F18" s="56" t="s">
        <v>63</v>
      </c>
      <c r="H18" t="s">
        <v>1217</v>
      </c>
      <c r="I18" s="245" t="s">
        <v>1235</v>
      </c>
      <c r="P18" s="3"/>
      <c r="R18" s="10" t="s">
        <v>70</v>
      </c>
      <c r="T18" s="16"/>
      <c r="U18" s="16"/>
      <c r="V18" s="16"/>
      <c r="W18" s="16"/>
      <c r="X18" s="16"/>
    </row>
    <row r="19" spans="4:24" x14ac:dyDescent="0.3">
      <c r="D19" s="7" t="s">
        <v>152</v>
      </c>
      <c r="F19" s="56" t="s">
        <v>65</v>
      </c>
      <c r="H19" t="s">
        <v>1199</v>
      </c>
      <c r="I19" s="245" t="s">
        <v>1236</v>
      </c>
      <c r="P19" t="s">
        <v>47</v>
      </c>
      <c r="R19" s="7" t="s">
        <v>97</v>
      </c>
      <c r="S19" s="8" t="s">
        <v>174</v>
      </c>
    </row>
    <row r="20" spans="4:24" x14ac:dyDescent="0.3">
      <c r="D20" s="7" t="s">
        <v>153</v>
      </c>
      <c r="F20" s="56" t="s">
        <v>69</v>
      </c>
      <c r="H20" t="s">
        <v>1218</v>
      </c>
      <c r="I20" s="245" t="s">
        <v>1237</v>
      </c>
      <c r="P20" t="s">
        <v>48</v>
      </c>
      <c r="R20" s="7" t="s">
        <v>84</v>
      </c>
    </row>
    <row r="21" spans="4:24" x14ac:dyDescent="0.3">
      <c r="D21" s="7" t="s">
        <v>147</v>
      </c>
      <c r="F21" s="56" t="s">
        <v>66</v>
      </c>
      <c r="H21" t="s">
        <v>1219</v>
      </c>
      <c r="I21" s="245" t="s">
        <v>1238</v>
      </c>
      <c r="P21" t="s">
        <v>49</v>
      </c>
      <c r="R21" s="7" t="s">
        <v>72</v>
      </c>
      <c r="S21" s="7" t="s">
        <v>176</v>
      </c>
    </row>
    <row r="22" spans="4:24" x14ac:dyDescent="0.3">
      <c r="D22" s="7" t="s">
        <v>146</v>
      </c>
      <c r="F22" s="56" t="s">
        <v>60</v>
      </c>
      <c r="H22" t="s">
        <v>1220</v>
      </c>
      <c r="P22" t="s">
        <v>50</v>
      </c>
      <c r="R22" s="11" t="s">
        <v>120</v>
      </c>
      <c r="S22" s="7" t="s">
        <v>177</v>
      </c>
    </row>
    <row r="23" spans="4:24" x14ac:dyDescent="0.3">
      <c r="D23" s="7" t="s">
        <v>145</v>
      </c>
      <c r="F23" s="53" t="s">
        <v>97</v>
      </c>
      <c r="H23" t="s">
        <v>1221</v>
      </c>
      <c r="I23" s="245" t="s">
        <v>1239</v>
      </c>
      <c r="R23" s="7" t="s">
        <v>73</v>
      </c>
      <c r="S23" s="7" t="s">
        <v>180</v>
      </c>
    </row>
    <row r="24" spans="4:24" x14ac:dyDescent="0.3">
      <c r="D24" s="7" t="s">
        <v>144</v>
      </c>
      <c r="F24" s="53" t="s">
        <v>84</v>
      </c>
      <c r="H24" t="s">
        <v>1222</v>
      </c>
      <c r="R24" s="7" t="s">
        <v>106</v>
      </c>
      <c r="S24" s="7" t="s">
        <v>178</v>
      </c>
    </row>
    <row r="25" spans="4:24" x14ac:dyDescent="0.3">
      <c r="D25" s="7" t="s">
        <v>148</v>
      </c>
      <c r="F25" s="53" t="s">
        <v>72</v>
      </c>
      <c r="H25" t="s">
        <v>1223</v>
      </c>
      <c r="I25" s="245" t="s">
        <v>1240</v>
      </c>
      <c r="P25" t="s">
        <v>56</v>
      </c>
      <c r="R25" s="13" t="s">
        <v>119</v>
      </c>
      <c r="S25" s="7" t="s">
        <v>183</v>
      </c>
    </row>
    <row r="26" spans="4:24" x14ac:dyDescent="0.3">
      <c r="D26" s="7" t="s">
        <v>149</v>
      </c>
      <c r="F26" s="56" t="s">
        <v>120</v>
      </c>
      <c r="H26" t="s">
        <v>1224</v>
      </c>
      <c r="I26" s="245" t="s">
        <v>1241</v>
      </c>
      <c r="R26" s="7" t="s">
        <v>96</v>
      </c>
      <c r="S26" s="7" t="s">
        <v>181</v>
      </c>
    </row>
    <row r="27" spans="4:24" x14ac:dyDescent="0.3">
      <c r="D27" s="7" t="s">
        <v>150</v>
      </c>
      <c r="F27" s="53" t="s">
        <v>73</v>
      </c>
      <c r="H27" t="s">
        <v>1225</v>
      </c>
      <c r="P27" t="s">
        <v>57</v>
      </c>
      <c r="R27" s="7" t="s">
        <v>107</v>
      </c>
      <c r="S27" s="7" t="s">
        <v>182</v>
      </c>
    </row>
    <row r="28" spans="4:24" x14ac:dyDescent="0.3">
      <c r="D28" s="7" t="s">
        <v>143</v>
      </c>
      <c r="F28" s="53" t="s">
        <v>106</v>
      </c>
      <c r="H28" s="247"/>
      <c r="I28" s="247"/>
      <c r="L28" t="s">
        <v>1200</v>
      </c>
      <c r="R28" s="7" t="s">
        <v>85</v>
      </c>
      <c r="S28" s="7" t="s">
        <v>179</v>
      </c>
    </row>
    <row r="29" spans="4:24" x14ac:dyDescent="0.3">
      <c r="D29" s="7" t="s">
        <v>156</v>
      </c>
      <c r="F29" s="13" t="s">
        <v>119</v>
      </c>
      <c r="L29" t="s">
        <v>1201</v>
      </c>
      <c r="R29" s="7" t="s">
        <v>87</v>
      </c>
      <c r="S29" s="7" t="s">
        <v>175</v>
      </c>
    </row>
    <row r="30" spans="4:24" x14ac:dyDescent="0.3">
      <c r="D30" s="7" t="s">
        <v>155</v>
      </c>
      <c r="F30" s="53" t="s">
        <v>96</v>
      </c>
      <c r="H30"/>
      <c r="I30"/>
      <c r="L30" t="s">
        <v>1202</v>
      </c>
      <c r="R30" s="7" t="s">
        <v>91</v>
      </c>
    </row>
    <row r="31" spans="4:24" x14ac:dyDescent="0.3">
      <c r="D31" s="7" t="s">
        <v>157</v>
      </c>
      <c r="F31" s="53" t="s">
        <v>107</v>
      </c>
      <c r="H31"/>
      <c r="I31"/>
      <c r="R31" s="7" t="s">
        <v>89</v>
      </c>
      <c r="S31" s="8" t="s">
        <v>184</v>
      </c>
    </row>
    <row r="32" spans="4:24" x14ac:dyDescent="0.3">
      <c r="D32" s="7" t="s">
        <v>154</v>
      </c>
      <c r="F32" s="53" t="s">
        <v>85</v>
      </c>
      <c r="H32"/>
      <c r="I32"/>
      <c r="R32" s="7" t="s">
        <v>116</v>
      </c>
    </row>
    <row r="33" spans="4:19" x14ac:dyDescent="0.3">
      <c r="D33" s="7" t="s">
        <v>166</v>
      </c>
      <c r="F33" s="53" t="s">
        <v>87</v>
      </c>
      <c r="H33"/>
      <c r="I33"/>
      <c r="R33" s="11" t="s">
        <v>130</v>
      </c>
      <c r="S33" s="7" t="s">
        <v>186</v>
      </c>
    </row>
    <row r="34" spans="4:19" x14ac:dyDescent="0.3">
      <c r="D34" s="7" t="s">
        <v>49</v>
      </c>
      <c r="F34" s="53" t="s">
        <v>91</v>
      </c>
      <c r="H34"/>
      <c r="I34"/>
      <c r="R34" s="7" t="s">
        <v>98</v>
      </c>
      <c r="S34" s="7" t="s">
        <v>191</v>
      </c>
    </row>
    <row r="35" spans="4:19" x14ac:dyDescent="0.3">
      <c r="D35" s="7" t="s">
        <v>47</v>
      </c>
      <c r="F35" s="53" t="s">
        <v>89</v>
      </c>
      <c r="H35"/>
      <c r="I35"/>
      <c r="R35" s="7" t="s">
        <v>104</v>
      </c>
      <c r="S35" s="7" t="s">
        <v>190</v>
      </c>
    </row>
    <row r="36" spans="4:19" x14ac:dyDescent="0.3">
      <c r="D36" s="7" t="s">
        <v>48</v>
      </c>
      <c r="F36" s="53" t="s">
        <v>116</v>
      </c>
      <c r="H36"/>
      <c r="I36"/>
      <c r="R36" s="7" t="s">
        <v>115</v>
      </c>
      <c r="S36" s="7" t="s">
        <v>189</v>
      </c>
    </row>
    <row r="37" spans="4:19" x14ac:dyDescent="0.3">
      <c r="D37" s="7" t="s">
        <v>50</v>
      </c>
      <c r="F37" s="56" t="s">
        <v>130</v>
      </c>
      <c r="H37"/>
      <c r="I37"/>
      <c r="R37" s="11" t="s">
        <v>127</v>
      </c>
      <c r="S37" s="7" t="s">
        <v>188</v>
      </c>
    </row>
    <row r="38" spans="4:19" x14ac:dyDescent="0.3">
      <c r="D38" s="7" t="s">
        <v>161</v>
      </c>
      <c r="F38" s="53" t="s">
        <v>98</v>
      </c>
      <c r="H38"/>
      <c r="I38"/>
      <c r="R38" s="11" t="s">
        <v>128</v>
      </c>
      <c r="S38" s="7" t="s">
        <v>187</v>
      </c>
    </row>
    <row r="39" spans="4:19" x14ac:dyDescent="0.3">
      <c r="D39" s="7" t="s">
        <v>162</v>
      </c>
      <c r="F39" s="53" t="s">
        <v>104</v>
      </c>
      <c r="H39"/>
      <c r="I39"/>
      <c r="R39" s="11" t="s">
        <v>126</v>
      </c>
      <c r="S39" s="7" t="s">
        <v>185</v>
      </c>
    </row>
    <row r="40" spans="4:19" x14ac:dyDescent="0.3">
      <c r="F40" s="53" t="s">
        <v>115</v>
      </c>
      <c r="H40"/>
      <c r="I40"/>
      <c r="R40" s="7" t="s">
        <v>113</v>
      </c>
    </row>
    <row r="41" spans="4:19" x14ac:dyDescent="0.3">
      <c r="F41" s="56" t="s">
        <v>127</v>
      </c>
      <c r="H41"/>
      <c r="I41"/>
      <c r="R41" s="7" t="s">
        <v>99</v>
      </c>
      <c r="S41" s="8" t="s">
        <v>251</v>
      </c>
    </row>
    <row r="42" spans="4:19" x14ac:dyDescent="0.3">
      <c r="F42" s="56" t="s">
        <v>128</v>
      </c>
      <c r="H42"/>
      <c r="I42"/>
      <c r="R42" s="7" t="s">
        <v>94</v>
      </c>
    </row>
    <row r="43" spans="4:19" x14ac:dyDescent="0.3">
      <c r="F43" s="56" t="s">
        <v>126</v>
      </c>
      <c r="H43"/>
      <c r="I43"/>
      <c r="R43" s="7" t="s">
        <v>90</v>
      </c>
      <c r="S43" s="51" t="s">
        <v>51</v>
      </c>
    </row>
    <row r="44" spans="4:19" x14ac:dyDescent="0.3">
      <c r="F44" s="53" t="s">
        <v>113</v>
      </c>
      <c r="H44"/>
      <c r="I44"/>
      <c r="R44" s="11" t="s">
        <v>125</v>
      </c>
      <c r="S44" s="51" t="s">
        <v>52</v>
      </c>
    </row>
    <row r="45" spans="4:19" x14ac:dyDescent="0.3">
      <c r="F45" s="53" t="s">
        <v>99</v>
      </c>
      <c r="H45"/>
      <c r="I45"/>
      <c r="R45" s="7" t="s">
        <v>92</v>
      </c>
      <c r="S45" s="51" t="s">
        <v>242</v>
      </c>
    </row>
    <row r="46" spans="4:19" x14ac:dyDescent="0.3">
      <c r="F46" s="53" t="s">
        <v>94</v>
      </c>
      <c r="H46"/>
      <c r="I46"/>
      <c r="R46" s="7" t="s">
        <v>75</v>
      </c>
      <c r="S46" s="51" t="s">
        <v>243</v>
      </c>
    </row>
    <row r="47" spans="4:19" x14ac:dyDescent="0.3">
      <c r="F47" s="53" t="s">
        <v>90</v>
      </c>
      <c r="H47"/>
      <c r="I47"/>
      <c r="R47" s="7" t="s">
        <v>114</v>
      </c>
      <c r="S47" s="51" t="s">
        <v>53</v>
      </c>
    </row>
    <row r="48" spans="4:19" x14ac:dyDescent="0.3">
      <c r="F48" s="56" t="s">
        <v>125</v>
      </c>
      <c r="H48"/>
      <c r="I48"/>
      <c r="R48" s="7" t="s">
        <v>82</v>
      </c>
      <c r="S48" s="51" t="s">
        <v>232</v>
      </c>
    </row>
    <row r="49" spans="6:19" x14ac:dyDescent="0.3">
      <c r="F49" s="53" t="s">
        <v>92</v>
      </c>
      <c r="H49"/>
      <c r="I49"/>
      <c r="R49" s="7" t="s">
        <v>93</v>
      </c>
      <c r="S49" s="51" t="s">
        <v>244</v>
      </c>
    </row>
    <row r="50" spans="6:19" x14ac:dyDescent="0.3">
      <c r="F50" s="53" t="s">
        <v>75</v>
      </c>
      <c r="H50"/>
      <c r="I50"/>
      <c r="R50" s="7" t="s">
        <v>108</v>
      </c>
      <c r="S50" s="51" t="s">
        <v>245</v>
      </c>
    </row>
    <row r="51" spans="6:19" x14ac:dyDescent="0.3">
      <c r="F51" s="53" t="s">
        <v>114</v>
      </c>
      <c r="H51"/>
      <c r="I51"/>
      <c r="R51" s="7" t="s">
        <v>100</v>
      </c>
      <c r="S51" s="51" t="s">
        <v>246</v>
      </c>
    </row>
    <row r="52" spans="6:19" x14ac:dyDescent="0.3">
      <c r="F52" s="53" t="s">
        <v>82</v>
      </c>
      <c r="H52"/>
      <c r="I52"/>
      <c r="R52" s="7" t="s">
        <v>74</v>
      </c>
    </row>
    <row r="53" spans="6:19" x14ac:dyDescent="0.3">
      <c r="F53" s="53" t="s">
        <v>93</v>
      </c>
      <c r="H53"/>
      <c r="I53"/>
      <c r="R53" s="7" t="s">
        <v>111</v>
      </c>
    </row>
    <row r="54" spans="6:19" x14ac:dyDescent="0.3">
      <c r="F54" s="53" t="s">
        <v>108</v>
      </c>
      <c r="R54" s="7" t="s">
        <v>76</v>
      </c>
    </row>
    <row r="55" spans="6:19" x14ac:dyDescent="0.3">
      <c r="F55" s="53" t="s">
        <v>100</v>
      </c>
      <c r="R55" s="11" t="s">
        <v>129</v>
      </c>
    </row>
    <row r="56" spans="6:19" x14ac:dyDescent="0.3">
      <c r="F56" s="53" t="s">
        <v>74</v>
      </c>
      <c r="R56" s="7" t="s">
        <v>102</v>
      </c>
    </row>
    <row r="57" spans="6:19" x14ac:dyDescent="0.3">
      <c r="F57" s="53" t="s">
        <v>111</v>
      </c>
      <c r="R57" s="7" t="s">
        <v>79</v>
      </c>
    </row>
    <row r="58" spans="6:19" x14ac:dyDescent="0.3">
      <c r="F58" s="53" t="s">
        <v>76</v>
      </c>
      <c r="R58" s="7" t="s">
        <v>110</v>
      </c>
    </row>
    <row r="59" spans="6:19" x14ac:dyDescent="0.3">
      <c r="F59" s="56" t="s">
        <v>129</v>
      </c>
      <c r="R59" s="7" t="s">
        <v>77</v>
      </c>
    </row>
    <row r="60" spans="6:19" x14ac:dyDescent="0.3">
      <c r="F60" s="53" t="s">
        <v>102</v>
      </c>
      <c r="R60" s="7" t="s">
        <v>101</v>
      </c>
    </row>
    <row r="61" spans="6:19" x14ac:dyDescent="0.3">
      <c r="F61" s="53" t="s">
        <v>79</v>
      </c>
      <c r="R61" s="7" t="s">
        <v>78</v>
      </c>
    </row>
    <row r="62" spans="6:19" x14ac:dyDescent="0.3">
      <c r="F62" s="53" t="s">
        <v>110</v>
      </c>
      <c r="R62" s="7" t="s">
        <v>117</v>
      </c>
    </row>
    <row r="63" spans="6:19" x14ac:dyDescent="0.3">
      <c r="F63" s="53" t="s">
        <v>77</v>
      </c>
      <c r="R63" s="7" t="s">
        <v>80</v>
      </c>
    </row>
    <row r="64" spans="6:19" x14ac:dyDescent="0.3">
      <c r="F64" s="53" t="s">
        <v>101</v>
      </c>
      <c r="R64" s="7" t="s">
        <v>112</v>
      </c>
    </row>
    <row r="65" spans="6:18" x14ac:dyDescent="0.3">
      <c r="F65" s="53" t="s">
        <v>78</v>
      </c>
      <c r="R65" s="7" t="s">
        <v>88</v>
      </c>
    </row>
    <row r="66" spans="6:18" x14ac:dyDescent="0.3">
      <c r="F66" s="53" t="s">
        <v>117</v>
      </c>
      <c r="R66" s="7" t="s">
        <v>109</v>
      </c>
    </row>
    <row r="67" spans="6:18" x14ac:dyDescent="0.3">
      <c r="F67" s="53" t="s">
        <v>80</v>
      </c>
      <c r="R67" s="7" t="s">
        <v>103</v>
      </c>
    </row>
    <row r="68" spans="6:18" x14ac:dyDescent="0.3">
      <c r="F68" s="53" t="s">
        <v>112</v>
      </c>
      <c r="R68" s="7" t="s">
        <v>81</v>
      </c>
    </row>
    <row r="69" spans="6:18" x14ac:dyDescent="0.3">
      <c r="F69" s="53" t="s">
        <v>88</v>
      </c>
      <c r="R69" s="7" t="s">
        <v>86</v>
      </c>
    </row>
    <row r="70" spans="6:18" x14ac:dyDescent="0.3">
      <c r="F70" s="53" t="s">
        <v>109</v>
      </c>
      <c r="R70" s="11" t="s">
        <v>252</v>
      </c>
    </row>
    <row r="71" spans="6:18" x14ac:dyDescent="0.3">
      <c r="F71" s="53" t="s">
        <v>103</v>
      </c>
      <c r="R71" s="11" t="s">
        <v>253</v>
      </c>
    </row>
    <row r="72" spans="6:18" x14ac:dyDescent="0.3">
      <c r="F72" s="53" t="s">
        <v>81</v>
      </c>
      <c r="R72" s="11" t="s">
        <v>254</v>
      </c>
    </row>
    <row r="73" spans="6:18" x14ac:dyDescent="0.3">
      <c r="F73" s="53" t="s">
        <v>86</v>
      </c>
      <c r="R73" s="11" t="s">
        <v>255</v>
      </c>
    </row>
    <row r="74" spans="6:18" x14ac:dyDescent="0.3">
      <c r="F74" s="56" t="s">
        <v>252</v>
      </c>
      <c r="R74" s="7" t="s">
        <v>83</v>
      </c>
    </row>
    <row r="75" spans="6:18" x14ac:dyDescent="0.3">
      <c r="F75" s="56" t="s">
        <v>253</v>
      </c>
      <c r="R75" s="7" t="s">
        <v>95</v>
      </c>
    </row>
    <row r="76" spans="6:18" x14ac:dyDescent="0.3">
      <c r="F76" s="56" t="s">
        <v>254</v>
      </c>
      <c r="R76" s="11" t="s">
        <v>118</v>
      </c>
    </row>
    <row r="77" spans="6:18" x14ac:dyDescent="0.3">
      <c r="F77" s="56" t="s">
        <v>255</v>
      </c>
      <c r="R77" s="7" t="s">
        <v>71</v>
      </c>
    </row>
    <row r="78" spans="6:18" x14ac:dyDescent="0.3">
      <c r="F78" s="53" t="s">
        <v>83</v>
      </c>
      <c r="R78" s="7" t="s">
        <v>105</v>
      </c>
    </row>
    <row r="79" spans="6:18" x14ac:dyDescent="0.3">
      <c r="F79" s="53" t="s">
        <v>95</v>
      </c>
    </row>
    <row r="80" spans="6:18" x14ac:dyDescent="0.3">
      <c r="F80" s="56" t="s">
        <v>118</v>
      </c>
    </row>
    <row r="81" spans="6:19" x14ac:dyDescent="0.3">
      <c r="F81" s="53" t="s">
        <v>71</v>
      </c>
      <c r="S81" s="7" t="str">
        <f t="shared" ref="S81:S89" si="0">MID(R38:R84,3,100)</f>
        <v/>
      </c>
    </row>
    <row r="82" spans="6:19" x14ac:dyDescent="0.3">
      <c r="F82" s="53" t="s">
        <v>105</v>
      </c>
      <c r="S82" s="7" t="str">
        <f t="shared" si="0"/>
        <v/>
      </c>
    </row>
    <row r="83" spans="6:19" x14ac:dyDescent="0.3">
      <c r="F83" s="53" t="s">
        <v>96</v>
      </c>
      <c r="S83" s="7" t="str">
        <f t="shared" si="0"/>
        <v/>
      </c>
    </row>
    <row r="84" spans="6:19" x14ac:dyDescent="0.3">
      <c r="F84" s="53" t="s">
        <v>134</v>
      </c>
      <c r="S84" s="7" t="str">
        <f t="shared" si="0"/>
        <v/>
      </c>
    </row>
    <row r="85" spans="6:19" x14ac:dyDescent="0.3">
      <c r="F85" s="53" t="s">
        <v>133</v>
      </c>
      <c r="S85" s="7" t="str">
        <f t="shared" si="0"/>
        <v/>
      </c>
    </row>
    <row r="86" spans="6:19" x14ac:dyDescent="0.3">
      <c r="F86" s="53" t="s">
        <v>137</v>
      </c>
      <c r="S86" s="7" t="str">
        <f t="shared" si="0"/>
        <v/>
      </c>
    </row>
    <row r="87" spans="6:19" x14ac:dyDescent="0.3">
      <c r="F87" s="53" t="s">
        <v>141</v>
      </c>
      <c r="S87" s="7" t="str">
        <f t="shared" si="0"/>
        <v/>
      </c>
    </row>
    <row r="88" spans="6:19" x14ac:dyDescent="0.3">
      <c r="F88" s="53" t="s">
        <v>135</v>
      </c>
      <c r="S88" s="7" t="str">
        <f t="shared" si="0"/>
        <v/>
      </c>
    </row>
    <row r="89" spans="6:19" x14ac:dyDescent="0.3">
      <c r="F89" s="53" t="s">
        <v>140</v>
      </c>
      <c r="S89" s="7" t="str">
        <f t="shared" si="0"/>
        <v/>
      </c>
    </row>
    <row r="90" spans="6:19" x14ac:dyDescent="0.3">
      <c r="F90" s="53" t="s">
        <v>136</v>
      </c>
    </row>
    <row r="91" spans="6:19" x14ac:dyDescent="0.3">
      <c r="F91" s="53" t="s">
        <v>139</v>
      </c>
    </row>
    <row r="92" spans="6:19" x14ac:dyDescent="0.3">
      <c r="F92" s="53" t="s">
        <v>138</v>
      </c>
    </row>
    <row r="93" spans="6:19" x14ac:dyDescent="0.3">
      <c r="F93" s="53" t="s">
        <v>132</v>
      </c>
    </row>
    <row r="94" spans="6:19" x14ac:dyDescent="0.3">
      <c r="F94" s="53" t="s">
        <v>176</v>
      </c>
    </row>
    <row r="95" spans="6:19" x14ac:dyDescent="0.3">
      <c r="F95" s="53" t="s">
        <v>177</v>
      </c>
    </row>
    <row r="96" spans="6:19" x14ac:dyDescent="0.3">
      <c r="F96" s="53" t="s">
        <v>180</v>
      </c>
    </row>
    <row r="97" spans="6:6" x14ac:dyDescent="0.3">
      <c r="F97" s="53" t="s">
        <v>178</v>
      </c>
    </row>
    <row r="98" spans="6:6" x14ac:dyDescent="0.3">
      <c r="F98" s="53" t="s">
        <v>183</v>
      </c>
    </row>
    <row r="99" spans="6:6" x14ac:dyDescent="0.3">
      <c r="F99" s="53" t="s">
        <v>181</v>
      </c>
    </row>
    <row r="100" spans="6:6" x14ac:dyDescent="0.3">
      <c r="F100" s="53" t="s">
        <v>182</v>
      </c>
    </row>
    <row r="101" spans="6:6" x14ac:dyDescent="0.3">
      <c r="F101" s="53" t="s">
        <v>179</v>
      </c>
    </row>
    <row r="102" spans="6:6" x14ac:dyDescent="0.3">
      <c r="F102" s="53" t="s">
        <v>175</v>
      </c>
    </row>
    <row r="103" spans="6:6" x14ac:dyDescent="0.3">
      <c r="F103" s="53" t="s">
        <v>186</v>
      </c>
    </row>
    <row r="104" spans="6:6" x14ac:dyDescent="0.3">
      <c r="F104" s="53" t="s">
        <v>191</v>
      </c>
    </row>
    <row r="105" spans="6:6" x14ac:dyDescent="0.3">
      <c r="F105" s="53" t="s">
        <v>190</v>
      </c>
    </row>
    <row r="106" spans="6:6" x14ac:dyDescent="0.3">
      <c r="F106" s="53" t="s">
        <v>189</v>
      </c>
    </row>
    <row r="107" spans="6:6" x14ac:dyDescent="0.3">
      <c r="F107" s="53" t="s">
        <v>188</v>
      </c>
    </row>
    <row r="108" spans="6:6" x14ac:dyDescent="0.3">
      <c r="F108" s="53" t="s">
        <v>187</v>
      </c>
    </row>
    <row r="109" spans="6:6" x14ac:dyDescent="0.3">
      <c r="F109" s="53" t="s">
        <v>185</v>
      </c>
    </row>
  </sheetData>
  <sortState ref="H4:H27">
    <sortCondition ref="H4"/>
  </sortState>
  <mergeCells count="1">
    <mergeCell ref="U9:W9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C2D28"/>
  </sheetPr>
  <dimension ref="A1:AD701"/>
  <sheetViews>
    <sheetView topLeftCell="A25" workbookViewId="0">
      <selection activeCell="A47" activeCellId="21" sqref="A574:B574 A572:B572 A570:B570 A556:B556 A537:B537 A535:B535 A534:B534 A533:B533 A532:B532 A520:B520 A519:B519 A514:B514 A513:B513 A510:B510 A480:B480 A471:B471 A404:B404 A406:B406 A305:B305 A297:B297 A288:B288 A47:B47"/>
    </sheetView>
  </sheetViews>
  <sheetFormatPr defaultRowHeight="14.4" x14ac:dyDescent="0.3"/>
  <cols>
    <col min="1" max="1" width="21.88671875" customWidth="1"/>
  </cols>
  <sheetData>
    <row r="1" spans="1:30" x14ac:dyDescent="0.3">
      <c r="A1" t="s">
        <v>455</v>
      </c>
      <c r="B1" t="s">
        <v>456</v>
      </c>
      <c r="C1" t="s">
        <v>457</v>
      </c>
      <c r="D1" t="s">
        <v>12</v>
      </c>
      <c r="E1" t="s">
        <v>11</v>
      </c>
      <c r="F1" t="s">
        <v>10</v>
      </c>
      <c r="G1" t="s">
        <v>192</v>
      </c>
      <c r="H1" t="s">
        <v>9</v>
      </c>
      <c r="I1" t="s">
        <v>15</v>
      </c>
      <c r="J1" t="s">
        <v>14</v>
      </c>
      <c r="K1" t="s">
        <v>13</v>
      </c>
      <c r="L1" t="s">
        <v>16</v>
      </c>
      <c r="M1" t="s">
        <v>458</v>
      </c>
      <c r="N1" t="s">
        <v>454</v>
      </c>
      <c r="O1" t="s">
        <v>459</v>
      </c>
      <c r="P1" t="s">
        <v>337</v>
      </c>
      <c r="Q1" t="s">
        <v>338</v>
      </c>
      <c r="R1" t="s">
        <v>460</v>
      </c>
      <c r="S1" t="s">
        <v>461</v>
      </c>
      <c r="T1" t="s">
        <v>462</v>
      </c>
      <c r="U1" t="s">
        <v>463</v>
      </c>
      <c r="V1" t="s">
        <v>464</v>
      </c>
      <c r="W1" t="s">
        <v>465</v>
      </c>
      <c r="X1" t="s">
        <v>466</v>
      </c>
      <c r="Y1" t="s">
        <v>467</v>
      </c>
      <c r="Z1" t="s">
        <v>468</v>
      </c>
      <c r="AA1" t="s">
        <v>469</v>
      </c>
      <c r="AB1" t="s">
        <v>17</v>
      </c>
      <c r="AC1" t="s">
        <v>18</v>
      </c>
      <c r="AD1" t="s">
        <v>19</v>
      </c>
    </row>
    <row r="2" spans="1:30" x14ac:dyDescent="0.3">
      <c r="A2" t="s">
        <v>470</v>
      </c>
      <c r="B2" t="s">
        <v>239</v>
      </c>
      <c r="C2" t="s">
        <v>58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</row>
    <row r="3" spans="1:30" x14ac:dyDescent="0.3">
      <c r="A3" t="s">
        <v>471</v>
      </c>
      <c r="B3" t="s">
        <v>238</v>
      </c>
      <c r="C3" t="s">
        <v>58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</row>
    <row r="4" spans="1:30" x14ac:dyDescent="0.3">
      <c r="A4" t="s">
        <v>472</v>
      </c>
      <c r="B4" t="s">
        <v>238</v>
      </c>
      <c r="C4" t="s">
        <v>58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1:30" x14ac:dyDescent="0.3">
      <c r="A5" t="s">
        <v>473</v>
      </c>
      <c r="B5" t="s">
        <v>239</v>
      </c>
      <c r="C5" t="s">
        <v>474</v>
      </c>
      <c r="D5">
        <v>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1:30" x14ac:dyDescent="0.3">
      <c r="A6" t="s">
        <v>475</v>
      </c>
      <c r="B6" t="s">
        <v>238</v>
      </c>
      <c r="C6" t="s">
        <v>474</v>
      </c>
      <c r="D6">
        <v>1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 x14ac:dyDescent="0.3">
      <c r="A7" t="s">
        <v>476</v>
      </c>
      <c r="B7" t="s">
        <v>238</v>
      </c>
      <c r="C7" t="s">
        <v>474</v>
      </c>
      <c r="D7">
        <v>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</row>
    <row r="8" spans="1:30" x14ac:dyDescent="0.3">
      <c r="A8" t="s">
        <v>477</v>
      </c>
      <c r="B8" t="s">
        <v>238</v>
      </c>
      <c r="C8" t="s">
        <v>474</v>
      </c>
      <c r="D8">
        <v>1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</row>
    <row r="9" spans="1:30" x14ac:dyDescent="0.3">
      <c r="A9" t="s">
        <v>478</v>
      </c>
      <c r="B9" t="s">
        <v>237</v>
      </c>
      <c r="C9" t="s">
        <v>474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</row>
    <row r="10" spans="1:30" x14ac:dyDescent="0.3">
      <c r="A10" t="s">
        <v>479</v>
      </c>
      <c r="B10" t="s">
        <v>237</v>
      </c>
      <c r="C10" t="s">
        <v>474</v>
      </c>
      <c r="D10">
        <v>1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</row>
    <row r="11" spans="1:30" x14ac:dyDescent="0.3">
      <c r="A11" t="s">
        <v>480</v>
      </c>
      <c r="B11" t="s">
        <v>237</v>
      </c>
      <c r="C11" t="s">
        <v>474</v>
      </c>
      <c r="D11">
        <v>1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</row>
    <row r="12" spans="1:30" x14ac:dyDescent="0.3">
      <c r="A12" t="s">
        <v>481</v>
      </c>
      <c r="B12" t="s">
        <v>237</v>
      </c>
      <c r="C12" t="s">
        <v>474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 x14ac:dyDescent="0.3">
      <c r="A13" t="s">
        <v>482</v>
      </c>
      <c r="B13" t="s">
        <v>239</v>
      </c>
      <c r="C13" t="s">
        <v>483</v>
      </c>
      <c r="D13">
        <v>1</v>
      </c>
      <c r="E13">
        <v>1</v>
      </c>
      <c r="F13">
        <v>1</v>
      </c>
      <c r="G13">
        <v>0</v>
      </c>
      <c r="H13">
        <v>1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</row>
    <row r="14" spans="1:30" x14ac:dyDescent="0.3">
      <c r="A14" t="s">
        <v>484</v>
      </c>
      <c r="B14" t="s">
        <v>237</v>
      </c>
      <c r="C14" t="s">
        <v>483</v>
      </c>
      <c r="D14">
        <v>1</v>
      </c>
      <c r="E14">
        <v>0</v>
      </c>
      <c r="F14">
        <v>0</v>
      </c>
      <c r="G14">
        <v>1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 x14ac:dyDescent="0.3">
      <c r="A15" t="s">
        <v>485</v>
      </c>
      <c r="B15" t="s">
        <v>238</v>
      </c>
      <c r="C15" t="s">
        <v>483</v>
      </c>
      <c r="D15">
        <v>1</v>
      </c>
      <c r="E15">
        <v>0</v>
      </c>
      <c r="F15">
        <v>1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</row>
    <row r="16" spans="1:30" x14ac:dyDescent="0.3">
      <c r="A16" t="s">
        <v>486</v>
      </c>
      <c r="B16" t="s">
        <v>237</v>
      </c>
      <c r="C16" t="s">
        <v>483</v>
      </c>
      <c r="D16">
        <v>1</v>
      </c>
      <c r="E16">
        <v>1</v>
      </c>
      <c r="F16">
        <v>0</v>
      </c>
      <c r="G16">
        <v>0</v>
      </c>
      <c r="H16">
        <v>1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</row>
    <row r="17" spans="1:30" x14ac:dyDescent="0.3">
      <c r="A17" t="s">
        <v>487</v>
      </c>
      <c r="B17" t="s">
        <v>238</v>
      </c>
      <c r="C17" t="s">
        <v>483</v>
      </c>
      <c r="D17">
        <v>1</v>
      </c>
      <c r="E17">
        <v>1</v>
      </c>
      <c r="F17">
        <v>1</v>
      </c>
      <c r="G17">
        <v>0</v>
      </c>
      <c r="H17">
        <v>1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 x14ac:dyDescent="0.3">
      <c r="A18" t="s">
        <v>488</v>
      </c>
      <c r="B18" t="s">
        <v>237</v>
      </c>
      <c r="C18" t="s">
        <v>489</v>
      </c>
      <c r="D18">
        <v>1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 x14ac:dyDescent="0.3">
      <c r="A19" t="s">
        <v>490</v>
      </c>
      <c r="B19" t="s">
        <v>237</v>
      </c>
      <c r="C19" t="s">
        <v>489</v>
      </c>
      <c r="D19">
        <v>1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 x14ac:dyDescent="0.3">
      <c r="A20" t="s">
        <v>491</v>
      </c>
      <c r="B20" t="s">
        <v>237</v>
      </c>
      <c r="C20" t="s">
        <v>489</v>
      </c>
      <c r="D20">
        <v>1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 x14ac:dyDescent="0.3">
      <c r="A21" t="s">
        <v>492</v>
      </c>
      <c r="B21" t="s">
        <v>237</v>
      </c>
      <c r="C21" t="s">
        <v>489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</row>
    <row r="22" spans="1:30" x14ac:dyDescent="0.3">
      <c r="A22" t="s">
        <v>493</v>
      </c>
      <c r="B22" t="s">
        <v>238</v>
      </c>
      <c r="C22" t="s">
        <v>489</v>
      </c>
      <c r="D22">
        <v>1</v>
      </c>
      <c r="E22">
        <v>1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3">
      <c r="A23" t="s">
        <v>494</v>
      </c>
      <c r="B23" t="s">
        <v>239</v>
      </c>
      <c r="C23" t="s">
        <v>489</v>
      </c>
      <c r="D23">
        <v>1</v>
      </c>
      <c r="E23">
        <v>1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</row>
    <row r="24" spans="1:30" x14ac:dyDescent="0.3">
      <c r="A24" t="s">
        <v>495</v>
      </c>
      <c r="B24" t="s">
        <v>238</v>
      </c>
      <c r="C24" t="s">
        <v>489</v>
      </c>
      <c r="D24">
        <v>1</v>
      </c>
      <c r="E24">
        <v>0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1:30" x14ac:dyDescent="0.3">
      <c r="A25" t="s">
        <v>496</v>
      </c>
      <c r="B25" t="s">
        <v>238</v>
      </c>
      <c r="C25" t="s">
        <v>497</v>
      </c>
      <c r="D25">
        <v>1</v>
      </c>
      <c r="E25">
        <v>0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 x14ac:dyDescent="0.3">
      <c r="A26" t="s">
        <v>498</v>
      </c>
      <c r="B26" t="s">
        <v>237</v>
      </c>
      <c r="C26" t="s">
        <v>497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 x14ac:dyDescent="0.3">
      <c r="A27" t="s">
        <v>499</v>
      </c>
      <c r="B27" t="s">
        <v>237</v>
      </c>
      <c r="C27" t="s">
        <v>497</v>
      </c>
      <c r="D27">
        <v>1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 x14ac:dyDescent="0.3">
      <c r="A28" t="s">
        <v>500</v>
      </c>
      <c r="B28" t="s">
        <v>238</v>
      </c>
      <c r="C28" t="s">
        <v>497</v>
      </c>
      <c r="D28">
        <v>1</v>
      </c>
      <c r="E28">
        <v>1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 x14ac:dyDescent="0.3">
      <c r="A29" t="s">
        <v>501</v>
      </c>
      <c r="B29" t="s">
        <v>237</v>
      </c>
      <c r="C29" t="s">
        <v>497</v>
      </c>
      <c r="D29">
        <v>1</v>
      </c>
      <c r="E29">
        <v>0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 x14ac:dyDescent="0.3">
      <c r="A30" t="s">
        <v>502</v>
      </c>
      <c r="B30" t="s">
        <v>238</v>
      </c>
      <c r="C30" t="s">
        <v>503</v>
      </c>
      <c r="D30">
        <v>1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1" spans="1:30" x14ac:dyDescent="0.3">
      <c r="A31" t="s">
        <v>504</v>
      </c>
      <c r="B31" t="s">
        <v>238</v>
      </c>
      <c r="C31" t="s">
        <v>503</v>
      </c>
      <c r="D31">
        <v>1</v>
      </c>
      <c r="E31">
        <v>1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3">
      <c r="A32" t="s">
        <v>505</v>
      </c>
      <c r="B32" t="s">
        <v>237</v>
      </c>
      <c r="C32" t="s">
        <v>503</v>
      </c>
      <c r="D32">
        <v>1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  <row r="33" spans="1:30" x14ac:dyDescent="0.3">
      <c r="A33" t="s">
        <v>506</v>
      </c>
      <c r="B33" t="s">
        <v>237</v>
      </c>
      <c r="C33" t="s">
        <v>503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0" x14ac:dyDescent="0.3">
      <c r="A34" t="s">
        <v>507</v>
      </c>
      <c r="B34" t="s">
        <v>239</v>
      </c>
      <c r="C34" t="s">
        <v>503</v>
      </c>
      <c r="D34">
        <v>1</v>
      </c>
      <c r="E34">
        <v>1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3">
      <c r="A35" t="s">
        <v>508</v>
      </c>
      <c r="B35" t="s">
        <v>238</v>
      </c>
      <c r="C35" t="s">
        <v>503</v>
      </c>
      <c r="D35">
        <v>1</v>
      </c>
      <c r="E35">
        <v>1</v>
      </c>
      <c r="F35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3">
      <c r="A36" t="s">
        <v>509</v>
      </c>
      <c r="B36" t="s">
        <v>237</v>
      </c>
      <c r="C36" t="s">
        <v>503</v>
      </c>
      <c r="D36">
        <v>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</row>
    <row r="37" spans="1:30" x14ac:dyDescent="0.3">
      <c r="A37" t="s">
        <v>510</v>
      </c>
      <c r="B37" t="s">
        <v>237</v>
      </c>
      <c r="C37" t="s">
        <v>503</v>
      </c>
      <c r="D37">
        <v>1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</row>
    <row r="38" spans="1:30" x14ac:dyDescent="0.3">
      <c r="A38" t="s">
        <v>511</v>
      </c>
      <c r="B38" t="s">
        <v>239</v>
      </c>
      <c r="C38" t="s">
        <v>512</v>
      </c>
      <c r="D38">
        <v>1</v>
      </c>
      <c r="E38">
        <v>1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</row>
    <row r="39" spans="1:30" x14ac:dyDescent="0.3">
      <c r="A39" t="s">
        <v>513</v>
      </c>
      <c r="B39" t="s">
        <v>238</v>
      </c>
      <c r="C39" t="s">
        <v>512</v>
      </c>
      <c r="D39">
        <v>1</v>
      </c>
      <c r="E39">
        <v>1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</row>
    <row r="40" spans="1:30" x14ac:dyDescent="0.3">
      <c r="A40" t="s">
        <v>514</v>
      </c>
      <c r="B40" t="s">
        <v>237</v>
      </c>
      <c r="C40" t="s">
        <v>512</v>
      </c>
      <c r="D40">
        <v>1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3">
      <c r="A41" t="s">
        <v>515</v>
      </c>
      <c r="B41" t="s">
        <v>237</v>
      </c>
      <c r="C41" t="s">
        <v>516</v>
      </c>
      <c r="D41">
        <v>1</v>
      </c>
      <c r="E41">
        <v>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3">
      <c r="A42" t="s">
        <v>517</v>
      </c>
      <c r="B42" t="s">
        <v>238</v>
      </c>
      <c r="C42" t="s">
        <v>518</v>
      </c>
      <c r="D42">
        <v>1</v>
      </c>
      <c r="E42">
        <v>1</v>
      </c>
      <c r="F42">
        <v>1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3">
      <c r="A43" t="s">
        <v>519</v>
      </c>
      <c r="B43" t="s">
        <v>239</v>
      </c>
      <c r="C43" t="s">
        <v>518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3">
      <c r="A44" t="s">
        <v>520</v>
      </c>
      <c r="B44" t="s">
        <v>237</v>
      </c>
      <c r="C44" t="s">
        <v>518</v>
      </c>
      <c r="D44">
        <v>1</v>
      </c>
      <c r="E44">
        <v>1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</row>
    <row r="45" spans="1:30" x14ac:dyDescent="0.3">
      <c r="A45" t="s">
        <v>521</v>
      </c>
      <c r="B45" t="s">
        <v>238</v>
      </c>
      <c r="C45" t="s">
        <v>518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</row>
    <row r="46" spans="1:30" x14ac:dyDescent="0.3">
      <c r="A46" t="s">
        <v>522</v>
      </c>
      <c r="B46" t="s">
        <v>237</v>
      </c>
      <c r="C46" t="s">
        <v>518</v>
      </c>
      <c r="D46">
        <v>1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3">
      <c r="A47" t="s">
        <v>523</v>
      </c>
      <c r="B47" t="s">
        <v>240</v>
      </c>
      <c r="C47" t="s">
        <v>524</v>
      </c>
      <c r="D47">
        <v>1</v>
      </c>
      <c r="E47">
        <v>1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3">
      <c r="A48" t="s">
        <v>525</v>
      </c>
      <c r="B48" t="s">
        <v>239</v>
      </c>
      <c r="C48" t="s">
        <v>524</v>
      </c>
      <c r="D48">
        <v>1</v>
      </c>
      <c r="E48">
        <v>1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3">
      <c r="A49" t="s">
        <v>526</v>
      </c>
      <c r="B49" t="s">
        <v>238</v>
      </c>
      <c r="C49" t="s">
        <v>524</v>
      </c>
      <c r="D49">
        <v>1</v>
      </c>
      <c r="E49">
        <v>1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  <row r="50" spans="1:30" x14ac:dyDescent="0.3">
      <c r="A50" t="s">
        <v>527</v>
      </c>
      <c r="B50" t="s">
        <v>237</v>
      </c>
      <c r="C50" t="s">
        <v>524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</row>
    <row r="51" spans="1:30" x14ac:dyDescent="0.3">
      <c r="A51" t="s">
        <v>528</v>
      </c>
      <c r="B51" t="s">
        <v>239</v>
      </c>
      <c r="C51" t="s">
        <v>529</v>
      </c>
      <c r="D51">
        <v>1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</row>
    <row r="52" spans="1:30" x14ac:dyDescent="0.3">
      <c r="A52" t="s">
        <v>530</v>
      </c>
      <c r="B52" t="s">
        <v>238</v>
      </c>
      <c r="C52" t="s">
        <v>529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</row>
    <row r="53" spans="1:30" x14ac:dyDescent="0.3">
      <c r="A53" t="s">
        <v>531</v>
      </c>
      <c r="B53" t="s">
        <v>238</v>
      </c>
      <c r="C53" t="s">
        <v>529</v>
      </c>
      <c r="D53">
        <v>1</v>
      </c>
      <c r="E53">
        <v>1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</row>
    <row r="54" spans="1:30" x14ac:dyDescent="0.3">
      <c r="A54" t="s">
        <v>532</v>
      </c>
      <c r="B54" t="s">
        <v>237</v>
      </c>
      <c r="C54" t="s">
        <v>529</v>
      </c>
      <c r="D54">
        <v>1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</row>
    <row r="55" spans="1:30" x14ac:dyDescent="0.3">
      <c r="A55" t="s">
        <v>533</v>
      </c>
      <c r="B55" t="s">
        <v>238</v>
      </c>
      <c r="C55" t="s">
        <v>529</v>
      </c>
      <c r="D55">
        <v>1</v>
      </c>
      <c r="E55">
        <v>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</row>
    <row r="56" spans="1:30" x14ac:dyDescent="0.3">
      <c r="A56" t="s">
        <v>534</v>
      </c>
      <c r="B56" t="s">
        <v>237</v>
      </c>
      <c r="C56" t="s">
        <v>529</v>
      </c>
      <c r="D56">
        <v>1</v>
      </c>
      <c r="E56">
        <v>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</row>
    <row r="57" spans="1:30" x14ac:dyDescent="0.3">
      <c r="A57" t="s">
        <v>535</v>
      </c>
      <c r="B57" t="s">
        <v>237</v>
      </c>
      <c r="C57" t="s">
        <v>529</v>
      </c>
      <c r="D57">
        <v>1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</row>
    <row r="58" spans="1:30" x14ac:dyDescent="0.3">
      <c r="A58" t="s">
        <v>536</v>
      </c>
      <c r="B58" t="s">
        <v>237</v>
      </c>
      <c r="C58" t="s">
        <v>537</v>
      </c>
      <c r="D58">
        <v>1</v>
      </c>
      <c r="E58">
        <v>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</row>
    <row r="59" spans="1:30" x14ac:dyDescent="0.3">
      <c r="A59" t="s">
        <v>538</v>
      </c>
      <c r="B59" t="s">
        <v>237</v>
      </c>
      <c r="C59" t="s">
        <v>537</v>
      </c>
      <c r="D59">
        <v>0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</row>
    <row r="60" spans="1:30" x14ac:dyDescent="0.3">
      <c r="A60" t="s">
        <v>539</v>
      </c>
      <c r="B60" t="s">
        <v>239</v>
      </c>
      <c r="C60" t="s">
        <v>537</v>
      </c>
      <c r="D60">
        <v>1</v>
      </c>
      <c r="E60"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</row>
    <row r="61" spans="1:30" x14ac:dyDescent="0.3">
      <c r="A61" t="s">
        <v>540</v>
      </c>
      <c r="B61" t="s">
        <v>238</v>
      </c>
      <c r="C61" t="s">
        <v>537</v>
      </c>
      <c r="D61">
        <v>1</v>
      </c>
      <c r="E61">
        <v>0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</row>
    <row r="62" spans="1:30" x14ac:dyDescent="0.3">
      <c r="A62" t="s">
        <v>541</v>
      </c>
      <c r="B62" t="s">
        <v>237</v>
      </c>
      <c r="C62" t="s">
        <v>537</v>
      </c>
      <c r="D62">
        <v>1</v>
      </c>
      <c r="E62">
        <v>1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</row>
    <row r="63" spans="1:30" x14ac:dyDescent="0.3">
      <c r="A63" t="s">
        <v>542</v>
      </c>
      <c r="B63" t="s">
        <v>237</v>
      </c>
      <c r="C63" t="s">
        <v>537</v>
      </c>
      <c r="D63">
        <v>1</v>
      </c>
      <c r="E63">
        <v>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</row>
    <row r="64" spans="1:30" x14ac:dyDescent="0.3">
      <c r="A64" t="s">
        <v>543</v>
      </c>
      <c r="B64" t="s">
        <v>237</v>
      </c>
      <c r="C64" t="s">
        <v>537</v>
      </c>
      <c r="D64">
        <v>1</v>
      </c>
      <c r="E64">
        <v>1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</row>
    <row r="65" spans="1:30" x14ac:dyDescent="0.3">
      <c r="A65" t="s">
        <v>544</v>
      </c>
      <c r="B65" t="s">
        <v>237</v>
      </c>
      <c r="C65" t="s">
        <v>537</v>
      </c>
      <c r="D65">
        <v>1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</row>
    <row r="66" spans="1:30" x14ac:dyDescent="0.3">
      <c r="A66" t="s">
        <v>545</v>
      </c>
      <c r="B66" t="s">
        <v>239</v>
      </c>
      <c r="C66" t="s">
        <v>546</v>
      </c>
      <c r="D66">
        <v>1</v>
      </c>
      <c r="E66">
        <v>1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</row>
    <row r="67" spans="1:30" x14ac:dyDescent="0.3">
      <c r="A67" t="s">
        <v>547</v>
      </c>
      <c r="B67" t="s">
        <v>237</v>
      </c>
      <c r="C67" t="s">
        <v>546</v>
      </c>
      <c r="D67">
        <v>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</row>
    <row r="68" spans="1:30" x14ac:dyDescent="0.3">
      <c r="A68" t="s">
        <v>548</v>
      </c>
      <c r="B68" t="s">
        <v>237</v>
      </c>
      <c r="C68" t="s">
        <v>546</v>
      </c>
      <c r="D68">
        <v>1</v>
      </c>
      <c r="E68">
        <v>1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</row>
    <row r="69" spans="1:30" x14ac:dyDescent="0.3">
      <c r="A69" t="s">
        <v>549</v>
      </c>
      <c r="B69" t="s">
        <v>237</v>
      </c>
      <c r="C69" t="s">
        <v>546</v>
      </c>
      <c r="D69">
        <v>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</row>
    <row r="70" spans="1:30" x14ac:dyDescent="0.3">
      <c r="A70" t="s">
        <v>550</v>
      </c>
      <c r="B70" t="s">
        <v>237</v>
      </c>
      <c r="C70" t="s">
        <v>551</v>
      </c>
      <c r="D70">
        <v>1</v>
      </c>
      <c r="E70">
        <v>1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</row>
    <row r="71" spans="1:30" x14ac:dyDescent="0.3">
      <c r="A71" t="s">
        <v>552</v>
      </c>
      <c r="B71" t="s">
        <v>239</v>
      </c>
      <c r="C71" t="s">
        <v>553</v>
      </c>
      <c r="D71">
        <v>1</v>
      </c>
      <c r="E71">
        <v>1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</row>
    <row r="72" spans="1:30" x14ac:dyDescent="0.3">
      <c r="A72" t="s">
        <v>554</v>
      </c>
      <c r="B72" t="s">
        <v>237</v>
      </c>
      <c r="C72" t="s">
        <v>553</v>
      </c>
      <c r="D72">
        <v>1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</row>
    <row r="73" spans="1:30" x14ac:dyDescent="0.3">
      <c r="A73" t="s">
        <v>555</v>
      </c>
      <c r="B73" t="s">
        <v>239</v>
      </c>
      <c r="C73" t="s">
        <v>553</v>
      </c>
      <c r="D73">
        <v>1</v>
      </c>
      <c r="E73">
        <v>1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</row>
    <row r="74" spans="1:30" x14ac:dyDescent="0.3">
      <c r="A74" t="s">
        <v>556</v>
      </c>
      <c r="B74" t="s">
        <v>237</v>
      </c>
      <c r="C74" t="s">
        <v>557</v>
      </c>
      <c r="D74">
        <v>1</v>
      </c>
      <c r="E74">
        <v>1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</row>
    <row r="75" spans="1:30" x14ac:dyDescent="0.3">
      <c r="A75" t="s">
        <v>558</v>
      </c>
      <c r="B75" t="s">
        <v>239</v>
      </c>
      <c r="C75" t="s">
        <v>559</v>
      </c>
      <c r="D75">
        <v>1</v>
      </c>
      <c r="E75">
        <v>0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</row>
    <row r="76" spans="1:30" x14ac:dyDescent="0.3">
      <c r="A76" t="s">
        <v>560</v>
      </c>
      <c r="B76" t="s">
        <v>237</v>
      </c>
      <c r="C76" t="s">
        <v>559</v>
      </c>
      <c r="D76">
        <v>1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</row>
    <row r="77" spans="1:30" x14ac:dyDescent="0.3">
      <c r="A77" t="s">
        <v>561</v>
      </c>
      <c r="B77" t="s">
        <v>237</v>
      </c>
      <c r="C77" t="s">
        <v>559</v>
      </c>
      <c r="D77">
        <v>1</v>
      </c>
      <c r="E77">
        <v>1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1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</row>
    <row r="78" spans="1:30" x14ac:dyDescent="0.3">
      <c r="A78" t="s">
        <v>562</v>
      </c>
      <c r="B78" t="s">
        <v>237</v>
      </c>
      <c r="C78" t="s">
        <v>559</v>
      </c>
      <c r="D78">
        <v>1</v>
      </c>
      <c r="E78">
        <v>1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</row>
    <row r="79" spans="1:30" x14ac:dyDescent="0.3">
      <c r="A79" t="s">
        <v>563</v>
      </c>
      <c r="B79" t="s">
        <v>237</v>
      </c>
      <c r="C79" t="s">
        <v>559</v>
      </c>
      <c r="D79">
        <v>1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</row>
    <row r="80" spans="1:30" x14ac:dyDescent="0.3">
      <c r="A80" t="s">
        <v>564</v>
      </c>
      <c r="B80" t="s">
        <v>237</v>
      </c>
      <c r="C80" t="s">
        <v>559</v>
      </c>
      <c r="D80">
        <v>1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</row>
    <row r="81" spans="1:30" x14ac:dyDescent="0.3">
      <c r="A81" t="s">
        <v>565</v>
      </c>
      <c r="B81" t="s">
        <v>239</v>
      </c>
      <c r="C81" t="s">
        <v>559</v>
      </c>
      <c r="D81">
        <v>1</v>
      </c>
      <c r="E81">
        <v>1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</row>
    <row r="82" spans="1:30" x14ac:dyDescent="0.3">
      <c r="A82" t="s">
        <v>566</v>
      </c>
      <c r="B82" t="s">
        <v>237</v>
      </c>
      <c r="C82" t="s">
        <v>559</v>
      </c>
      <c r="D82">
        <v>1</v>
      </c>
      <c r="E82">
        <v>0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</row>
    <row r="83" spans="1:30" x14ac:dyDescent="0.3">
      <c r="A83" t="s">
        <v>567</v>
      </c>
      <c r="B83" t="s">
        <v>237</v>
      </c>
      <c r="C83" t="s">
        <v>559</v>
      </c>
      <c r="D83">
        <v>1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</row>
    <row r="84" spans="1:30" x14ac:dyDescent="0.3">
      <c r="A84" t="s">
        <v>568</v>
      </c>
      <c r="B84" t="s">
        <v>237</v>
      </c>
      <c r="C84" t="s">
        <v>569</v>
      </c>
      <c r="D84">
        <v>1</v>
      </c>
      <c r="E84">
        <v>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</row>
    <row r="85" spans="1:30" x14ac:dyDescent="0.3">
      <c r="A85" t="s">
        <v>570</v>
      </c>
      <c r="B85" t="s">
        <v>237</v>
      </c>
      <c r="C85" t="s">
        <v>569</v>
      </c>
      <c r="D85">
        <v>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</row>
    <row r="86" spans="1:30" x14ac:dyDescent="0.3">
      <c r="A86" t="s">
        <v>571</v>
      </c>
      <c r="B86" t="s">
        <v>239</v>
      </c>
      <c r="C86" t="s">
        <v>569</v>
      </c>
      <c r="D86">
        <v>1</v>
      </c>
      <c r="E86">
        <v>1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</row>
    <row r="87" spans="1:30" x14ac:dyDescent="0.3">
      <c r="A87" t="s">
        <v>572</v>
      </c>
      <c r="B87" t="s">
        <v>237</v>
      </c>
      <c r="C87" t="s">
        <v>573</v>
      </c>
      <c r="D87">
        <v>1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</row>
    <row r="88" spans="1:30" x14ac:dyDescent="0.3">
      <c r="A88" t="s">
        <v>574</v>
      </c>
      <c r="B88" t="s">
        <v>237</v>
      </c>
      <c r="C88" t="s">
        <v>573</v>
      </c>
      <c r="D88">
        <v>1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</row>
    <row r="89" spans="1:30" x14ac:dyDescent="0.3">
      <c r="A89" t="s">
        <v>575</v>
      </c>
      <c r="B89" t="s">
        <v>237</v>
      </c>
      <c r="C89" t="s">
        <v>573</v>
      </c>
      <c r="D89">
        <v>1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</row>
    <row r="90" spans="1:30" x14ac:dyDescent="0.3">
      <c r="A90" t="s">
        <v>576</v>
      </c>
      <c r="B90" t="s">
        <v>238</v>
      </c>
      <c r="C90" t="s">
        <v>573</v>
      </c>
      <c r="D90">
        <v>1</v>
      </c>
      <c r="E90">
        <v>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</row>
    <row r="91" spans="1:30" x14ac:dyDescent="0.3">
      <c r="A91" t="s">
        <v>577</v>
      </c>
      <c r="B91" t="s">
        <v>238</v>
      </c>
      <c r="C91" t="s">
        <v>573</v>
      </c>
      <c r="D91">
        <v>1</v>
      </c>
      <c r="E91">
        <v>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</row>
    <row r="92" spans="1:30" x14ac:dyDescent="0.3">
      <c r="A92" t="s">
        <v>578</v>
      </c>
      <c r="B92" t="s">
        <v>238</v>
      </c>
      <c r="C92" t="s">
        <v>573</v>
      </c>
      <c r="D92">
        <v>1</v>
      </c>
      <c r="E92">
        <v>1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1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</row>
    <row r="93" spans="1:30" x14ac:dyDescent="0.3">
      <c r="A93" t="s">
        <v>579</v>
      </c>
      <c r="B93" t="s">
        <v>239</v>
      </c>
      <c r="C93" t="s">
        <v>573</v>
      </c>
      <c r="D93">
        <v>1</v>
      </c>
      <c r="E93">
        <v>0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1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</row>
    <row r="94" spans="1:30" x14ac:dyDescent="0.3">
      <c r="A94" t="s">
        <v>580</v>
      </c>
      <c r="B94" t="s">
        <v>239</v>
      </c>
      <c r="C94" t="s">
        <v>581</v>
      </c>
      <c r="D94">
        <v>1</v>
      </c>
      <c r="E94">
        <v>1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</row>
    <row r="95" spans="1:30" x14ac:dyDescent="0.3">
      <c r="A95" t="s">
        <v>582</v>
      </c>
      <c r="B95" t="s">
        <v>237</v>
      </c>
      <c r="C95" t="s">
        <v>581</v>
      </c>
      <c r="D95">
        <v>1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</row>
    <row r="96" spans="1:30" x14ac:dyDescent="0.3">
      <c r="A96" t="s">
        <v>583</v>
      </c>
      <c r="B96" t="s">
        <v>238</v>
      </c>
      <c r="C96" t="s">
        <v>581</v>
      </c>
      <c r="D96">
        <v>1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1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</row>
    <row r="97" spans="1:30" x14ac:dyDescent="0.3">
      <c r="A97" t="s">
        <v>584</v>
      </c>
      <c r="B97" t="s">
        <v>238</v>
      </c>
      <c r="C97" t="s">
        <v>581</v>
      </c>
      <c r="D97">
        <v>1</v>
      </c>
      <c r="E97">
        <v>1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</row>
    <row r="98" spans="1:30" x14ac:dyDescent="0.3">
      <c r="A98" t="s">
        <v>585</v>
      </c>
      <c r="B98" t="s">
        <v>237</v>
      </c>
      <c r="C98" t="s">
        <v>586</v>
      </c>
      <c r="D98">
        <v>1</v>
      </c>
      <c r="E98">
        <v>0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0" x14ac:dyDescent="0.3">
      <c r="A99" t="s">
        <v>587</v>
      </c>
      <c r="B99" t="s">
        <v>239</v>
      </c>
      <c r="C99" t="s">
        <v>586</v>
      </c>
      <c r="D99">
        <v>1</v>
      </c>
      <c r="E99">
        <v>1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0" x14ac:dyDescent="0.3">
      <c r="A100" t="s">
        <v>588</v>
      </c>
      <c r="B100" t="s">
        <v>237</v>
      </c>
      <c r="C100" t="s">
        <v>586</v>
      </c>
      <c r="D100">
        <v>1</v>
      </c>
      <c r="E100">
        <v>0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0" x14ac:dyDescent="0.3">
      <c r="A101" t="s">
        <v>589</v>
      </c>
      <c r="B101" t="s">
        <v>238</v>
      </c>
      <c r="C101" t="s">
        <v>586</v>
      </c>
      <c r="D101">
        <v>1</v>
      </c>
      <c r="E101">
        <v>1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0" x14ac:dyDescent="0.3">
      <c r="A102" t="s">
        <v>590</v>
      </c>
      <c r="B102" t="s">
        <v>238</v>
      </c>
      <c r="C102" t="s">
        <v>591</v>
      </c>
      <c r="D102">
        <v>1</v>
      </c>
      <c r="E102">
        <v>1</v>
      </c>
      <c r="F102">
        <v>1</v>
      </c>
      <c r="G102">
        <v>1</v>
      </c>
      <c r="H102">
        <v>0</v>
      </c>
      <c r="I102">
        <v>1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</row>
    <row r="103" spans="1:30" x14ac:dyDescent="0.3">
      <c r="A103" t="s">
        <v>592</v>
      </c>
      <c r="B103" t="s">
        <v>237</v>
      </c>
      <c r="C103" t="s">
        <v>591</v>
      </c>
      <c r="D103">
        <v>1</v>
      </c>
      <c r="E103">
        <v>0</v>
      </c>
      <c r="F103">
        <v>0</v>
      </c>
      <c r="G103">
        <v>1</v>
      </c>
      <c r="H103">
        <v>0</v>
      </c>
      <c r="I103">
        <v>1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</row>
    <row r="104" spans="1:30" x14ac:dyDescent="0.3">
      <c r="A104" t="s">
        <v>593</v>
      </c>
      <c r="B104" t="s">
        <v>239</v>
      </c>
      <c r="C104" t="s">
        <v>591</v>
      </c>
      <c r="D104">
        <v>1</v>
      </c>
      <c r="E104">
        <v>1</v>
      </c>
      <c r="F104">
        <v>1</v>
      </c>
      <c r="G104">
        <v>0</v>
      </c>
      <c r="H104">
        <v>1</v>
      </c>
      <c r="I104">
        <v>0</v>
      </c>
      <c r="J104">
        <v>1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</row>
    <row r="105" spans="1:30" x14ac:dyDescent="0.3">
      <c r="A105" t="s">
        <v>594</v>
      </c>
      <c r="B105" t="s">
        <v>239</v>
      </c>
      <c r="C105" t="s">
        <v>595</v>
      </c>
      <c r="D105">
        <v>1</v>
      </c>
      <c r="E105">
        <v>1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</row>
    <row r="106" spans="1:30" x14ac:dyDescent="0.3">
      <c r="A106" t="s">
        <v>596</v>
      </c>
      <c r="B106" t="s">
        <v>237</v>
      </c>
      <c r="C106" t="s">
        <v>595</v>
      </c>
      <c r="D106">
        <v>1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</row>
    <row r="107" spans="1:30" x14ac:dyDescent="0.3">
      <c r="A107" t="s">
        <v>597</v>
      </c>
      <c r="B107" t="s">
        <v>238</v>
      </c>
      <c r="C107" t="s">
        <v>595</v>
      </c>
      <c r="D107">
        <v>1</v>
      </c>
      <c r="E107">
        <v>1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</row>
    <row r="108" spans="1:30" x14ac:dyDescent="0.3">
      <c r="A108" t="s">
        <v>598</v>
      </c>
      <c r="B108" t="s">
        <v>238</v>
      </c>
      <c r="C108" t="s">
        <v>595</v>
      </c>
      <c r="D108">
        <v>1</v>
      </c>
      <c r="E108">
        <v>1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</row>
    <row r="109" spans="1:30" x14ac:dyDescent="0.3">
      <c r="A109" t="s">
        <v>599</v>
      </c>
      <c r="B109" t="s">
        <v>239</v>
      </c>
      <c r="C109" t="s">
        <v>600</v>
      </c>
      <c r="D109">
        <v>1</v>
      </c>
      <c r="E109">
        <v>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</row>
    <row r="110" spans="1:30" x14ac:dyDescent="0.3">
      <c r="A110" t="s">
        <v>601</v>
      </c>
      <c r="B110" t="s">
        <v>237</v>
      </c>
      <c r="C110" t="s">
        <v>600</v>
      </c>
      <c r="D110">
        <v>1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</row>
    <row r="111" spans="1:30" x14ac:dyDescent="0.3">
      <c r="A111" t="s">
        <v>602</v>
      </c>
      <c r="B111" t="s">
        <v>237</v>
      </c>
      <c r="C111" t="s">
        <v>600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</row>
    <row r="112" spans="1:30" x14ac:dyDescent="0.3">
      <c r="A112" t="s">
        <v>603</v>
      </c>
      <c r="B112" t="s">
        <v>237</v>
      </c>
      <c r="C112" t="s">
        <v>600</v>
      </c>
      <c r="D112">
        <v>1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</row>
    <row r="113" spans="1:30" x14ac:dyDescent="0.3">
      <c r="A113" t="s">
        <v>604</v>
      </c>
      <c r="B113" t="s">
        <v>237</v>
      </c>
      <c r="C113" t="s">
        <v>581</v>
      </c>
      <c r="D113">
        <v>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</row>
    <row r="114" spans="1:30" x14ac:dyDescent="0.3">
      <c r="A114" t="s">
        <v>605</v>
      </c>
      <c r="B114" t="s">
        <v>239</v>
      </c>
      <c r="C114" t="s">
        <v>497</v>
      </c>
      <c r="D114">
        <v>1</v>
      </c>
      <c r="E114">
        <v>1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</row>
    <row r="115" spans="1:30" x14ac:dyDescent="0.3">
      <c r="A115" t="s">
        <v>606</v>
      </c>
      <c r="B115" t="s">
        <v>239</v>
      </c>
      <c r="C115" t="s">
        <v>557</v>
      </c>
      <c r="D115">
        <v>1</v>
      </c>
      <c r="E115">
        <v>0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</row>
    <row r="116" spans="1:30" x14ac:dyDescent="0.3">
      <c r="A116" t="s">
        <v>607</v>
      </c>
      <c r="B116" t="s">
        <v>237</v>
      </c>
      <c r="C116" t="s">
        <v>557</v>
      </c>
      <c r="D116">
        <v>1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</row>
    <row r="117" spans="1:30" x14ac:dyDescent="0.3">
      <c r="A117" t="s">
        <v>608</v>
      </c>
      <c r="B117" t="s">
        <v>237</v>
      </c>
      <c r="C117" t="s">
        <v>557</v>
      </c>
      <c r="D117">
        <v>1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</row>
    <row r="118" spans="1:30" x14ac:dyDescent="0.3">
      <c r="A118" t="s">
        <v>609</v>
      </c>
      <c r="B118" t="s">
        <v>237</v>
      </c>
      <c r="C118" t="s">
        <v>557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</row>
    <row r="119" spans="1:30" x14ac:dyDescent="0.3">
      <c r="A119" t="s">
        <v>610</v>
      </c>
      <c r="B119" t="s">
        <v>237</v>
      </c>
      <c r="C119" t="s">
        <v>557</v>
      </c>
      <c r="D119">
        <v>1</v>
      </c>
      <c r="E119">
        <v>1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</row>
    <row r="120" spans="1:30" x14ac:dyDescent="0.3">
      <c r="A120" t="s">
        <v>611</v>
      </c>
      <c r="B120" t="s">
        <v>238</v>
      </c>
      <c r="C120" t="s">
        <v>557</v>
      </c>
      <c r="D120">
        <v>1</v>
      </c>
      <c r="E120">
        <v>1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</row>
    <row r="121" spans="1:30" x14ac:dyDescent="0.3">
      <c r="A121" t="s">
        <v>612</v>
      </c>
      <c r="B121" t="s">
        <v>237</v>
      </c>
      <c r="C121" t="s">
        <v>557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</row>
    <row r="122" spans="1:30" x14ac:dyDescent="0.3">
      <c r="A122" t="s">
        <v>613</v>
      </c>
      <c r="B122" t="s">
        <v>237</v>
      </c>
      <c r="C122" t="s">
        <v>474</v>
      </c>
      <c r="D122">
        <v>1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</row>
    <row r="123" spans="1:30" x14ac:dyDescent="0.3">
      <c r="A123" t="s">
        <v>614</v>
      </c>
      <c r="B123" t="s">
        <v>237</v>
      </c>
      <c r="C123" t="s">
        <v>483</v>
      </c>
      <c r="D123">
        <v>1</v>
      </c>
      <c r="E123">
        <v>1</v>
      </c>
      <c r="F123">
        <v>0</v>
      </c>
      <c r="G123">
        <v>0</v>
      </c>
      <c r="H123">
        <v>1</v>
      </c>
      <c r="I123">
        <v>0</v>
      </c>
      <c r="J123">
        <v>1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</row>
    <row r="124" spans="1:30" x14ac:dyDescent="0.3">
      <c r="A124" t="s">
        <v>615</v>
      </c>
      <c r="B124" t="s">
        <v>239</v>
      </c>
      <c r="C124" t="s">
        <v>595</v>
      </c>
      <c r="D124">
        <v>1</v>
      </c>
      <c r="E124">
        <v>0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</row>
    <row r="125" spans="1:30" x14ac:dyDescent="0.3">
      <c r="A125" t="s">
        <v>616</v>
      </c>
      <c r="B125" t="s">
        <v>238</v>
      </c>
      <c r="C125" t="s">
        <v>512</v>
      </c>
      <c r="D125">
        <v>1</v>
      </c>
      <c r="E125">
        <v>1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</row>
    <row r="126" spans="1:30" x14ac:dyDescent="0.3">
      <c r="A126" t="s">
        <v>617</v>
      </c>
      <c r="B126" t="s">
        <v>238</v>
      </c>
      <c r="C126" t="s">
        <v>557</v>
      </c>
      <c r="D126">
        <v>1</v>
      </c>
      <c r="E126">
        <v>1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</row>
    <row r="127" spans="1:30" x14ac:dyDescent="0.3">
      <c r="A127" t="s">
        <v>618</v>
      </c>
      <c r="B127" t="s">
        <v>237</v>
      </c>
      <c r="C127" t="s">
        <v>591</v>
      </c>
      <c r="D127">
        <v>1</v>
      </c>
      <c r="E127">
        <v>1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</row>
    <row r="128" spans="1:30" x14ac:dyDescent="0.3">
      <c r="A128" t="s">
        <v>619</v>
      </c>
      <c r="B128" t="s">
        <v>237</v>
      </c>
      <c r="C128" t="s">
        <v>569</v>
      </c>
      <c r="D128">
        <v>1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</row>
    <row r="129" spans="1:30" x14ac:dyDescent="0.3">
      <c r="A129" t="s">
        <v>620</v>
      </c>
      <c r="B129" t="s">
        <v>237</v>
      </c>
      <c r="C129" t="s">
        <v>497</v>
      </c>
      <c r="D129">
        <v>1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</row>
    <row r="130" spans="1:30" x14ac:dyDescent="0.3">
      <c r="A130" t="s">
        <v>621</v>
      </c>
      <c r="B130" t="s">
        <v>237</v>
      </c>
      <c r="C130" t="s">
        <v>497</v>
      </c>
      <c r="D130">
        <v>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</row>
    <row r="131" spans="1:30" x14ac:dyDescent="0.3">
      <c r="A131" t="s">
        <v>622</v>
      </c>
      <c r="B131" t="s">
        <v>237</v>
      </c>
      <c r="C131" t="s">
        <v>551</v>
      </c>
      <c r="D131">
        <v>1</v>
      </c>
      <c r="E131">
        <v>1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0" x14ac:dyDescent="0.3">
      <c r="A132" t="s">
        <v>623</v>
      </c>
      <c r="B132" t="s">
        <v>237</v>
      </c>
      <c r="C132" t="s">
        <v>497</v>
      </c>
      <c r="D132">
        <v>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0" x14ac:dyDescent="0.3">
      <c r="A133" t="s">
        <v>624</v>
      </c>
      <c r="B133" t="s">
        <v>237</v>
      </c>
      <c r="C133" t="s">
        <v>546</v>
      </c>
      <c r="D133">
        <v>1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0" x14ac:dyDescent="0.3">
      <c r="A134" t="s">
        <v>625</v>
      </c>
      <c r="B134" t="s">
        <v>238</v>
      </c>
      <c r="C134" t="s">
        <v>557</v>
      </c>
      <c r="D134">
        <v>1</v>
      </c>
      <c r="E134">
        <v>0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0" x14ac:dyDescent="0.3">
      <c r="A135" t="s">
        <v>626</v>
      </c>
      <c r="B135" t="s">
        <v>237</v>
      </c>
      <c r="C135" t="s">
        <v>557</v>
      </c>
      <c r="D135">
        <v>1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</row>
    <row r="136" spans="1:30" x14ac:dyDescent="0.3">
      <c r="A136" t="s">
        <v>627</v>
      </c>
      <c r="B136" t="s">
        <v>238</v>
      </c>
      <c r="C136" t="s">
        <v>497</v>
      </c>
      <c r="D136">
        <v>1</v>
      </c>
      <c r="E136">
        <v>1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</row>
    <row r="137" spans="1:30" x14ac:dyDescent="0.3">
      <c r="A137" t="s">
        <v>628</v>
      </c>
      <c r="B137" t="s">
        <v>237</v>
      </c>
      <c r="C137" t="s">
        <v>474</v>
      </c>
      <c r="D137">
        <v>1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</row>
    <row r="138" spans="1:30" x14ac:dyDescent="0.3">
      <c r="A138" t="s">
        <v>629</v>
      </c>
      <c r="B138" t="s">
        <v>238</v>
      </c>
      <c r="C138" t="s">
        <v>573</v>
      </c>
      <c r="D138">
        <v>1</v>
      </c>
      <c r="E138">
        <v>1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</row>
    <row r="139" spans="1:30" x14ac:dyDescent="0.3">
      <c r="A139" t="s">
        <v>630</v>
      </c>
      <c r="B139" t="s">
        <v>238</v>
      </c>
      <c r="C139" t="s">
        <v>569</v>
      </c>
      <c r="D139">
        <v>1</v>
      </c>
      <c r="E139">
        <v>1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</row>
    <row r="140" spans="1:30" x14ac:dyDescent="0.3">
      <c r="A140" t="s">
        <v>631</v>
      </c>
      <c r="B140" t="s">
        <v>237</v>
      </c>
      <c r="C140" t="s">
        <v>559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</row>
    <row r="141" spans="1:30" x14ac:dyDescent="0.3">
      <c r="A141" t="s">
        <v>632</v>
      </c>
      <c r="B141" t="s">
        <v>238</v>
      </c>
      <c r="C141" t="s">
        <v>581</v>
      </c>
      <c r="D141">
        <v>1</v>
      </c>
      <c r="E141">
        <v>1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30" x14ac:dyDescent="0.3">
      <c r="A142" t="s">
        <v>633</v>
      </c>
      <c r="B142" t="s">
        <v>237</v>
      </c>
      <c r="C142" t="s">
        <v>600</v>
      </c>
      <c r="D142">
        <v>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</row>
    <row r="143" spans="1:30" x14ac:dyDescent="0.3">
      <c r="A143" t="s">
        <v>634</v>
      </c>
      <c r="B143" t="s">
        <v>237</v>
      </c>
      <c r="C143" t="s">
        <v>600</v>
      </c>
      <c r="D143">
        <v>1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</row>
    <row r="144" spans="1:30" x14ac:dyDescent="0.3">
      <c r="A144" t="s">
        <v>635</v>
      </c>
      <c r="B144" t="s">
        <v>237</v>
      </c>
      <c r="C144" t="s">
        <v>546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</row>
    <row r="145" spans="1:30" x14ac:dyDescent="0.3">
      <c r="A145" t="s">
        <v>636</v>
      </c>
      <c r="B145" t="s">
        <v>237</v>
      </c>
      <c r="C145" t="s">
        <v>559</v>
      </c>
      <c r="D145">
        <v>1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</row>
    <row r="146" spans="1:30" x14ac:dyDescent="0.3">
      <c r="A146" t="s">
        <v>637</v>
      </c>
      <c r="B146" t="s">
        <v>237</v>
      </c>
      <c r="C146" t="s">
        <v>600</v>
      </c>
      <c r="D146">
        <v>1</v>
      </c>
      <c r="E146">
        <v>1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</row>
    <row r="147" spans="1:30" x14ac:dyDescent="0.3">
      <c r="A147" t="s">
        <v>638</v>
      </c>
      <c r="B147" t="s">
        <v>238</v>
      </c>
      <c r="C147" t="s">
        <v>524</v>
      </c>
      <c r="D147">
        <v>1</v>
      </c>
      <c r="E147">
        <v>1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</row>
    <row r="148" spans="1:30" x14ac:dyDescent="0.3">
      <c r="A148" t="s">
        <v>639</v>
      </c>
      <c r="B148" t="s">
        <v>237</v>
      </c>
      <c r="C148" t="s">
        <v>524</v>
      </c>
      <c r="D148">
        <v>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</row>
    <row r="149" spans="1:30" x14ac:dyDescent="0.3">
      <c r="A149" t="s">
        <v>640</v>
      </c>
      <c r="B149" t="s">
        <v>237</v>
      </c>
      <c r="C149" t="s">
        <v>595</v>
      </c>
      <c r="D149">
        <v>1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</row>
    <row r="150" spans="1:30" x14ac:dyDescent="0.3">
      <c r="A150" t="s">
        <v>641</v>
      </c>
      <c r="B150" t="s">
        <v>239</v>
      </c>
      <c r="C150" t="s">
        <v>551</v>
      </c>
      <c r="D150">
        <v>1</v>
      </c>
      <c r="E150">
        <v>1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1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</row>
    <row r="151" spans="1:30" x14ac:dyDescent="0.3">
      <c r="A151" t="s">
        <v>642</v>
      </c>
      <c r="B151" t="s">
        <v>237</v>
      </c>
      <c r="C151" t="s">
        <v>586</v>
      </c>
      <c r="D151">
        <v>1</v>
      </c>
      <c r="E151">
        <v>1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</row>
    <row r="152" spans="1:30" x14ac:dyDescent="0.3">
      <c r="A152" t="s">
        <v>643</v>
      </c>
      <c r="B152" t="s">
        <v>237</v>
      </c>
      <c r="C152" t="s">
        <v>497</v>
      </c>
      <c r="D152">
        <v>1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</row>
    <row r="153" spans="1:30" x14ac:dyDescent="0.3">
      <c r="A153" t="s">
        <v>644</v>
      </c>
      <c r="B153" t="s">
        <v>237</v>
      </c>
      <c r="C153" t="s">
        <v>497</v>
      </c>
      <c r="D153">
        <v>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</row>
    <row r="154" spans="1:30" x14ac:dyDescent="0.3">
      <c r="A154" t="s">
        <v>645</v>
      </c>
      <c r="B154" t="s">
        <v>238</v>
      </c>
      <c r="C154" t="s">
        <v>600</v>
      </c>
      <c r="D154">
        <v>1</v>
      </c>
      <c r="E154">
        <v>1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</row>
    <row r="155" spans="1:30" x14ac:dyDescent="0.3">
      <c r="A155" t="s">
        <v>646</v>
      </c>
      <c r="B155" t="s">
        <v>237</v>
      </c>
      <c r="C155" t="s">
        <v>573</v>
      </c>
      <c r="D155">
        <v>1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</row>
    <row r="156" spans="1:30" x14ac:dyDescent="0.3">
      <c r="A156" t="s">
        <v>647</v>
      </c>
      <c r="B156" t="s">
        <v>237</v>
      </c>
      <c r="C156" t="s">
        <v>489</v>
      </c>
      <c r="D156">
        <v>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</row>
    <row r="157" spans="1:30" x14ac:dyDescent="0.3">
      <c r="A157" t="s">
        <v>648</v>
      </c>
      <c r="B157" t="s">
        <v>237</v>
      </c>
      <c r="C157" t="s">
        <v>58</v>
      </c>
      <c r="D157">
        <v>1</v>
      </c>
      <c r="E157">
        <v>1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</row>
    <row r="158" spans="1:30" x14ac:dyDescent="0.3">
      <c r="A158" t="s">
        <v>649</v>
      </c>
      <c r="B158" t="s">
        <v>237</v>
      </c>
      <c r="C158" t="s">
        <v>529</v>
      </c>
      <c r="D158">
        <v>1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</row>
    <row r="159" spans="1:30" x14ac:dyDescent="0.3">
      <c r="A159" t="s">
        <v>650</v>
      </c>
      <c r="B159" t="s">
        <v>237</v>
      </c>
      <c r="C159" t="s">
        <v>512</v>
      </c>
      <c r="D159">
        <v>1</v>
      </c>
      <c r="E159">
        <v>1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30" x14ac:dyDescent="0.3">
      <c r="A160" t="s">
        <v>651</v>
      </c>
      <c r="B160" t="s">
        <v>237</v>
      </c>
      <c r="C160" t="s">
        <v>512</v>
      </c>
      <c r="D160">
        <v>1</v>
      </c>
      <c r="E160">
        <v>1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</row>
    <row r="161" spans="1:30" x14ac:dyDescent="0.3">
      <c r="A161" t="s">
        <v>652</v>
      </c>
      <c r="B161" t="s">
        <v>237</v>
      </c>
      <c r="C161" t="s">
        <v>551</v>
      </c>
      <c r="D161">
        <v>1</v>
      </c>
      <c r="E161">
        <v>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1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</row>
    <row r="162" spans="1:30" x14ac:dyDescent="0.3">
      <c r="A162" t="s">
        <v>653</v>
      </c>
      <c r="B162" t="s">
        <v>238</v>
      </c>
      <c r="C162" t="s">
        <v>512</v>
      </c>
      <c r="D162">
        <v>1</v>
      </c>
      <c r="E162">
        <v>1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</row>
    <row r="163" spans="1:30" x14ac:dyDescent="0.3">
      <c r="A163" t="s">
        <v>654</v>
      </c>
      <c r="B163" t="s">
        <v>237</v>
      </c>
      <c r="C163" t="s">
        <v>489</v>
      </c>
      <c r="D163">
        <v>1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</row>
    <row r="164" spans="1:30" x14ac:dyDescent="0.3">
      <c r="A164" t="s">
        <v>655</v>
      </c>
      <c r="B164" t="s">
        <v>237</v>
      </c>
      <c r="C164" t="s">
        <v>503</v>
      </c>
      <c r="D164">
        <v>1</v>
      </c>
      <c r="E164">
        <v>1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0" x14ac:dyDescent="0.3">
      <c r="A165" t="s">
        <v>656</v>
      </c>
      <c r="B165" t="s">
        <v>237</v>
      </c>
      <c r="C165" t="s">
        <v>503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</row>
    <row r="166" spans="1:30" x14ac:dyDescent="0.3">
      <c r="A166" t="s">
        <v>657</v>
      </c>
      <c r="B166" t="s">
        <v>237</v>
      </c>
      <c r="C166" t="s">
        <v>516</v>
      </c>
      <c r="D166">
        <v>1</v>
      </c>
      <c r="E166">
        <v>1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0" x14ac:dyDescent="0.3">
      <c r="A167" t="s">
        <v>658</v>
      </c>
      <c r="B167" t="s">
        <v>237</v>
      </c>
      <c r="C167" t="s">
        <v>537</v>
      </c>
      <c r="D167">
        <v>1</v>
      </c>
      <c r="E167">
        <v>1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0" x14ac:dyDescent="0.3">
      <c r="A168" t="s">
        <v>659</v>
      </c>
      <c r="B168" t="s">
        <v>237</v>
      </c>
      <c r="C168" t="s">
        <v>573</v>
      </c>
      <c r="D168">
        <v>1</v>
      </c>
      <c r="E168">
        <v>1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30" x14ac:dyDescent="0.3">
      <c r="A169" t="s">
        <v>660</v>
      </c>
      <c r="B169" t="s">
        <v>237</v>
      </c>
      <c r="C169" t="s">
        <v>573</v>
      </c>
      <c r="D169">
        <v>1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</row>
    <row r="170" spans="1:30" x14ac:dyDescent="0.3">
      <c r="A170" t="s">
        <v>661</v>
      </c>
      <c r="B170" t="s">
        <v>237</v>
      </c>
      <c r="C170" t="s">
        <v>518</v>
      </c>
      <c r="D170">
        <v>1</v>
      </c>
      <c r="E170">
        <v>1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</row>
    <row r="171" spans="1:30" x14ac:dyDescent="0.3">
      <c r="A171" t="s">
        <v>662</v>
      </c>
      <c r="B171" t="s">
        <v>237</v>
      </c>
      <c r="C171" t="s">
        <v>557</v>
      </c>
      <c r="D171">
        <v>1</v>
      </c>
      <c r="E171">
        <v>1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</row>
    <row r="172" spans="1:30" x14ac:dyDescent="0.3">
      <c r="A172" t="s">
        <v>663</v>
      </c>
      <c r="B172" t="s">
        <v>237</v>
      </c>
      <c r="C172" t="s">
        <v>557</v>
      </c>
      <c r="D172">
        <v>1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</row>
    <row r="173" spans="1:30" x14ac:dyDescent="0.3">
      <c r="A173" t="s">
        <v>664</v>
      </c>
      <c r="B173" t="s">
        <v>237</v>
      </c>
      <c r="C173" t="s">
        <v>573</v>
      </c>
      <c r="D173">
        <v>1</v>
      </c>
      <c r="E173">
        <v>1</v>
      </c>
      <c r="F173">
        <v>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</row>
    <row r="174" spans="1:30" x14ac:dyDescent="0.3">
      <c r="A174" t="s">
        <v>665</v>
      </c>
      <c r="B174" t="s">
        <v>237</v>
      </c>
      <c r="C174" t="s">
        <v>569</v>
      </c>
      <c r="D174">
        <v>1</v>
      </c>
      <c r="E174">
        <v>1</v>
      </c>
      <c r="F174">
        <v>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</row>
    <row r="175" spans="1:30" x14ac:dyDescent="0.3">
      <c r="A175" t="s">
        <v>666</v>
      </c>
      <c r="B175" t="s">
        <v>237</v>
      </c>
      <c r="C175" t="s">
        <v>569</v>
      </c>
      <c r="D175">
        <v>1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</row>
    <row r="176" spans="1:30" x14ac:dyDescent="0.3">
      <c r="A176" t="s">
        <v>667</v>
      </c>
      <c r="B176" t="s">
        <v>237</v>
      </c>
      <c r="C176" t="s">
        <v>474</v>
      </c>
      <c r="D176">
        <v>1</v>
      </c>
      <c r="E176">
        <v>1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</row>
    <row r="177" spans="1:30" x14ac:dyDescent="0.3">
      <c r="A177" t="s">
        <v>668</v>
      </c>
      <c r="B177" t="s">
        <v>237</v>
      </c>
      <c r="C177" t="s">
        <v>581</v>
      </c>
      <c r="D177">
        <v>1</v>
      </c>
      <c r="E177">
        <v>1</v>
      </c>
      <c r="F177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</row>
    <row r="178" spans="1:30" x14ac:dyDescent="0.3">
      <c r="A178" t="s">
        <v>669</v>
      </c>
      <c r="B178" t="s">
        <v>237</v>
      </c>
      <c r="C178" t="s">
        <v>595</v>
      </c>
      <c r="D178">
        <v>1</v>
      </c>
      <c r="E178">
        <v>1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</row>
    <row r="179" spans="1:30" x14ac:dyDescent="0.3">
      <c r="A179" t="s">
        <v>1189</v>
      </c>
      <c r="B179" t="s">
        <v>237</v>
      </c>
      <c r="C179" t="s">
        <v>595</v>
      </c>
      <c r="D179">
        <v>1</v>
      </c>
      <c r="E179">
        <v>0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</row>
    <row r="180" spans="1:30" x14ac:dyDescent="0.3">
      <c r="A180" t="s">
        <v>670</v>
      </c>
      <c r="B180" t="s">
        <v>237</v>
      </c>
      <c r="C180" t="s">
        <v>546</v>
      </c>
      <c r="D180">
        <v>1</v>
      </c>
      <c r="E180">
        <v>1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</row>
    <row r="181" spans="1:30" x14ac:dyDescent="0.3">
      <c r="A181" t="s">
        <v>671</v>
      </c>
      <c r="B181" t="s">
        <v>237</v>
      </c>
      <c r="C181" t="s">
        <v>553</v>
      </c>
      <c r="D181">
        <v>1</v>
      </c>
      <c r="E181">
        <v>1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</row>
    <row r="182" spans="1:30" x14ac:dyDescent="0.3">
      <c r="A182" t="s">
        <v>672</v>
      </c>
      <c r="B182" t="s">
        <v>237</v>
      </c>
      <c r="C182" t="s">
        <v>497</v>
      </c>
      <c r="D182">
        <v>1</v>
      </c>
      <c r="E182">
        <v>1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</row>
    <row r="183" spans="1:30" x14ac:dyDescent="0.3">
      <c r="A183" t="s">
        <v>673</v>
      </c>
      <c r="B183" t="s">
        <v>237</v>
      </c>
      <c r="C183" t="s">
        <v>551</v>
      </c>
      <c r="D183">
        <v>1</v>
      </c>
      <c r="E183">
        <v>0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</row>
    <row r="184" spans="1:30" x14ac:dyDescent="0.3">
      <c r="A184" t="s">
        <v>674</v>
      </c>
      <c r="B184" t="s">
        <v>237</v>
      </c>
      <c r="C184" t="s">
        <v>551</v>
      </c>
      <c r="D184">
        <v>1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</row>
    <row r="185" spans="1:30" x14ac:dyDescent="0.3">
      <c r="A185" t="s">
        <v>675</v>
      </c>
      <c r="B185" t="s">
        <v>237</v>
      </c>
      <c r="C185" t="s">
        <v>551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</row>
    <row r="186" spans="1:30" x14ac:dyDescent="0.3">
      <c r="A186" t="s">
        <v>676</v>
      </c>
      <c r="B186" t="s">
        <v>237</v>
      </c>
      <c r="C186" t="s">
        <v>489</v>
      </c>
      <c r="D186">
        <v>1</v>
      </c>
      <c r="E186">
        <v>1</v>
      </c>
      <c r="F186">
        <v>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</row>
    <row r="187" spans="1:30" x14ac:dyDescent="0.3">
      <c r="A187" t="s">
        <v>677</v>
      </c>
      <c r="B187" t="s">
        <v>237</v>
      </c>
      <c r="C187" t="s">
        <v>600</v>
      </c>
      <c r="D187">
        <v>1</v>
      </c>
      <c r="E187">
        <v>1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</row>
    <row r="188" spans="1:30" x14ac:dyDescent="0.3">
      <c r="A188" t="s">
        <v>678</v>
      </c>
      <c r="B188" t="s">
        <v>237</v>
      </c>
      <c r="C188" t="s">
        <v>483</v>
      </c>
      <c r="D188">
        <v>1</v>
      </c>
      <c r="E188">
        <v>1</v>
      </c>
      <c r="F188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</row>
    <row r="189" spans="1:30" x14ac:dyDescent="0.3">
      <c r="A189" t="s">
        <v>679</v>
      </c>
      <c r="B189" t="s">
        <v>237</v>
      </c>
      <c r="C189" t="s">
        <v>591</v>
      </c>
      <c r="D189">
        <v>1</v>
      </c>
      <c r="E189">
        <v>1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</row>
    <row r="190" spans="1:30" x14ac:dyDescent="0.3">
      <c r="A190" t="s">
        <v>680</v>
      </c>
      <c r="B190" t="s">
        <v>237</v>
      </c>
      <c r="C190" t="s">
        <v>559</v>
      </c>
      <c r="D190">
        <v>1</v>
      </c>
      <c r="E190">
        <v>1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30" x14ac:dyDescent="0.3">
      <c r="A191" t="s">
        <v>681</v>
      </c>
      <c r="B191" t="s">
        <v>238</v>
      </c>
      <c r="C191" t="s">
        <v>559</v>
      </c>
      <c r="D191">
        <v>1</v>
      </c>
      <c r="E191">
        <v>0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</row>
    <row r="192" spans="1:30" x14ac:dyDescent="0.3">
      <c r="A192" t="s">
        <v>682</v>
      </c>
      <c r="B192" t="s">
        <v>237</v>
      </c>
      <c r="C192" t="s">
        <v>551</v>
      </c>
      <c r="D192">
        <v>1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</row>
    <row r="193" spans="1:30" x14ac:dyDescent="0.3">
      <c r="A193" t="s">
        <v>684</v>
      </c>
      <c r="B193" t="s">
        <v>237</v>
      </c>
      <c r="C193" t="s">
        <v>497</v>
      </c>
      <c r="D193">
        <v>1</v>
      </c>
      <c r="E193">
        <v>1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</row>
    <row r="194" spans="1:30" x14ac:dyDescent="0.3">
      <c r="A194" t="s">
        <v>685</v>
      </c>
      <c r="B194" t="s">
        <v>237</v>
      </c>
      <c r="C194" t="s">
        <v>595</v>
      </c>
      <c r="D194">
        <v>1</v>
      </c>
      <c r="E194">
        <v>1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</row>
    <row r="195" spans="1:30" x14ac:dyDescent="0.3">
      <c r="A195" t="s">
        <v>686</v>
      </c>
      <c r="B195" t="s">
        <v>237</v>
      </c>
      <c r="C195" t="s">
        <v>483</v>
      </c>
      <c r="D195">
        <v>1</v>
      </c>
      <c r="E195">
        <v>1</v>
      </c>
      <c r="F195">
        <v>0</v>
      </c>
      <c r="G195">
        <v>1</v>
      </c>
      <c r="H195">
        <v>0</v>
      </c>
      <c r="I195">
        <v>1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</row>
    <row r="196" spans="1:30" x14ac:dyDescent="0.3">
      <c r="A196" t="s">
        <v>687</v>
      </c>
      <c r="B196" t="s">
        <v>237</v>
      </c>
      <c r="C196" t="s">
        <v>537</v>
      </c>
      <c r="D196">
        <v>1</v>
      </c>
      <c r="E196">
        <v>1</v>
      </c>
      <c r="F196">
        <v>1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</row>
    <row r="197" spans="1:30" x14ac:dyDescent="0.3">
      <c r="A197" t="s">
        <v>688</v>
      </c>
      <c r="B197" t="s">
        <v>238</v>
      </c>
      <c r="C197" t="s">
        <v>516</v>
      </c>
      <c r="D197">
        <v>1</v>
      </c>
      <c r="E197">
        <v>0</v>
      </c>
      <c r="F197">
        <v>1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</row>
    <row r="198" spans="1:30" x14ac:dyDescent="0.3">
      <c r="A198" t="s">
        <v>689</v>
      </c>
      <c r="B198" t="s">
        <v>237</v>
      </c>
      <c r="C198" t="s">
        <v>512</v>
      </c>
      <c r="D198">
        <v>1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0" x14ac:dyDescent="0.3">
      <c r="A199" t="s">
        <v>690</v>
      </c>
      <c r="B199" t="s">
        <v>237</v>
      </c>
      <c r="C199" t="s">
        <v>573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0" x14ac:dyDescent="0.3">
      <c r="A200" t="s">
        <v>691</v>
      </c>
      <c r="B200" t="s">
        <v>237</v>
      </c>
      <c r="C200" t="s">
        <v>573</v>
      </c>
      <c r="D200">
        <v>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0" x14ac:dyDescent="0.3">
      <c r="A201" t="s">
        <v>692</v>
      </c>
      <c r="B201" t="s">
        <v>237</v>
      </c>
      <c r="C201" t="s">
        <v>557</v>
      </c>
      <c r="D201">
        <v>1</v>
      </c>
      <c r="E201">
        <v>1</v>
      </c>
      <c r="F201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</row>
    <row r="202" spans="1:30" x14ac:dyDescent="0.3">
      <c r="A202" t="s">
        <v>693</v>
      </c>
      <c r="B202" t="s">
        <v>237</v>
      </c>
      <c r="C202" t="s">
        <v>489</v>
      </c>
      <c r="D202">
        <v>1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</row>
    <row r="203" spans="1:30" x14ac:dyDescent="0.3">
      <c r="A203" t="s">
        <v>694</v>
      </c>
      <c r="B203" t="s">
        <v>237</v>
      </c>
      <c r="C203" t="s">
        <v>553</v>
      </c>
      <c r="D203">
        <v>1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</row>
    <row r="204" spans="1:30" x14ac:dyDescent="0.3">
      <c r="A204" t="s">
        <v>695</v>
      </c>
      <c r="B204" t="s">
        <v>237</v>
      </c>
      <c r="C204" t="s">
        <v>553</v>
      </c>
      <c r="D204">
        <v>1</v>
      </c>
      <c r="E204">
        <v>1</v>
      </c>
      <c r="F204">
        <v>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</row>
    <row r="205" spans="1:30" x14ac:dyDescent="0.3">
      <c r="A205" t="s">
        <v>696</v>
      </c>
      <c r="B205" t="s">
        <v>238</v>
      </c>
      <c r="C205" t="s">
        <v>551</v>
      </c>
      <c r="D205">
        <v>1</v>
      </c>
      <c r="E205">
        <v>1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</row>
    <row r="206" spans="1:30" x14ac:dyDescent="0.3">
      <c r="A206" t="s">
        <v>697</v>
      </c>
      <c r="B206" t="s">
        <v>237</v>
      </c>
      <c r="C206" t="s">
        <v>58</v>
      </c>
      <c r="D206">
        <v>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</row>
    <row r="207" spans="1:30" x14ac:dyDescent="0.3">
      <c r="A207" t="s">
        <v>698</v>
      </c>
      <c r="B207" t="s">
        <v>237</v>
      </c>
      <c r="C207" t="s">
        <v>559</v>
      </c>
      <c r="D207">
        <v>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</row>
    <row r="208" spans="1:30" x14ac:dyDescent="0.3">
      <c r="A208" t="s">
        <v>699</v>
      </c>
      <c r="B208" t="s">
        <v>237</v>
      </c>
      <c r="C208" t="s">
        <v>537</v>
      </c>
      <c r="D208">
        <v>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</row>
    <row r="209" spans="1:30" x14ac:dyDescent="0.3">
      <c r="A209" t="s">
        <v>700</v>
      </c>
      <c r="B209" t="s">
        <v>237</v>
      </c>
      <c r="C209" t="s">
        <v>58</v>
      </c>
      <c r="D209">
        <v>1</v>
      </c>
      <c r="E209">
        <v>1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</row>
    <row r="210" spans="1:30" x14ac:dyDescent="0.3">
      <c r="A210" t="s">
        <v>701</v>
      </c>
      <c r="B210" t="s">
        <v>237</v>
      </c>
      <c r="C210" t="s">
        <v>559</v>
      </c>
      <c r="D210">
        <v>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</row>
    <row r="211" spans="1:30" x14ac:dyDescent="0.3">
      <c r="A211" t="s">
        <v>702</v>
      </c>
      <c r="B211" t="s">
        <v>237</v>
      </c>
      <c r="C211" t="s">
        <v>600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</row>
    <row r="212" spans="1:30" x14ac:dyDescent="0.3">
      <c r="A212" t="s">
        <v>703</v>
      </c>
      <c r="B212" t="s">
        <v>237</v>
      </c>
      <c r="C212" t="s">
        <v>529</v>
      </c>
      <c r="D212">
        <v>1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30" x14ac:dyDescent="0.3">
      <c r="A213" t="s">
        <v>704</v>
      </c>
      <c r="B213" t="s">
        <v>237</v>
      </c>
      <c r="C213" t="s">
        <v>591</v>
      </c>
      <c r="D213">
        <v>1</v>
      </c>
      <c r="E213">
        <v>0</v>
      </c>
      <c r="F213">
        <v>0</v>
      </c>
      <c r="G213">
        <v>1</v>
      </c>
      <c r="H213">
        <v>0</v>
      </c>
      <c r="I213">
        <v>1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</row>
    <row r="214" spans="1:30" x14ac:dyDescent="0.3">
      <c r="A214" t="s">
        <v>705</v>
      </c>
      <c r="B214" t="s">
        <v>237</v>
      </c>
      <c r="C214" t="s">
        <v>551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</row>
    <row r="215" spans="1:30" x14ac:dyDescent="0.3">
      <c r="A215" t="s">
        <v>706</v>
      </c>
      <c r="B215" t="s">
        <v>237</v>
      </c>
      <c r="C215" t="s">
        <v>586</v>
      </c>
      <c r="D215">
        <v>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</row>
    <row r="216" spans="1:30" x14ac:dyDescent="0.3">
      <c r="A216" t="s">
        <v>707</v>
      </c>
      <c r="B216" t="s">
        <v>237</v>
      </c>
      <c r="C216" t="s">
        <v>595</v>
      </c>
      <c r="D216">
        <v>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</row>
    <row r="217" spans="1:30" x14ac:dyDescent="0.3">
      <c r="A217" t="s">
        <v>708</v>
      </c>
      <c r="B217" t="s">
        <v>237</v>
      </c>
      <c r="C217" t="s">
        <v>537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</row>
    <row r="218" spans="1:30" x14ac:dyDescent="0.3">
      <c r="A218" t="s">
        <v>709</v>
      </c>
      <c r="B218" t="s">
        <v>237</v>
      </c>
      <c r="C218" t="s">
        <v>559</v>
      </c>
      <c r="D218">
        <v>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</row>
    <row r="219" spans="1:30" x14ac:dyDescent="0.3">
      <c r="A219" t="s">
        <v>710</v>
      </c>
      <c r="B219" t="s">
        <v>237</v>
      </c>
      <c r="C219" t="s">
        <v>529</v>
      </c>
      <c r="D219">
        <v>1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</row>
    <row r="220" spans="1:30" x14ac:dyDescent="0.3">
      <c r="A220" t="s">
        <v>711</v>
      </c>
      <c r="B220" t="s">
        <v>237</v>
      </c>
      <c r="C220" t="s">
        <v>516</v>
      </c>
      <c r="D220">
        <v>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30" x14ac:dyDescent="0.3">
      <c r="A221" t="s">
        <v>712</v>
      </c>
      <c r="B221" t="s">
        <v>237</v>
      </c>
      <c r="C221" t="s">
        <v>600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</row>
    <row r="222" spans="1:30" x14ac:dyDescent="0.3">
      <c r="A222" t="s">
        <v>713</v>
      </c>
      <c r="B222" t="s">
        <v>237</v>
      </c>
      <c r="C222" t="s">
        <v>591</v>
      </c>
      <c r="D222">
        <v>1</v>
      </c>
      <c r="E222">
        <v>0</v>
      </c>
      <c r="F222">
        <v>0</v>
      </c>
      <c r="G222">
        <v>1</v>
      </c>
      <c r="H222">
        <v>0</v>
      </c>
      <c r="I222">
        <v>1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</row>
    <row r="223" spans="1:30" x14ac:dyDescent="0.3">
      <c r="A223" t="s">
        <v>714</v>
      </c>
      <c r="B223" t="s">
        <v>237</v>
      </c>
      <c r="C223" t="s">
        <v>581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</row>
    <row r="224" spans="1:30" x14ac:dyDescent="0.3">
      <c r="A224" t="s">
        <v>715</v>
      </c>
      <c r="B224" t="s">
        <v>238</v>
      </c>
      <c r="C224" t="s">
        <v>537</v>
      </c>
      <c r="D224">
        <v>1</v>
      </c>
      <c r="E224">
        <v>1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</row>
    <row r="225" spans="1:30" x14ac:dyDescent="0.3">
      <c r="A225" t="s">
        <v>716</v>
      </c>
      <c r="B225" t="s">
        <v>237</v>
      </c>
      <c r="C225" t="s">
        <v>717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</row>
    <row r="226" spans="1:30" x14ac:dyDescent="0.3">
      <c r="A226" t="s">
        <v>718</v>
      </c>
      <c r="B226" t="s">
        <v>237</v>
      </c>
      <c r="C226" t="s">
        <v>58</v>
      </c>
      <c r="D226">
        <v>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</row>
    <row r="227" spans="1:30" x14ac:dyDescent="0.3">
      <c r="A227" t="s">
        <v>719</v>
      </c>
      <c r="B227" t="s">
        <v>237</v>
      </c>
      <c r="C227" t="s">
        <v>559</v>
      </c>
      <c r="D227">
        <v>1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</row>
    <row r="228" spans="1:30" x14ac:dyDescent="0.3">
      <c r="A228" t="s">
        <v>720</v>
      </c>
      <c r="B228" t="s">
        <v>237</v>
      </c>
      <c r="C228" t="s">
        <v>516</v>
      </c>
      <c r="D228">
        <v>1</v>
      </c>
      <c r="E228">
        <v>1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</row>
    <row r="229" spans="1:30" x14ac:dyDescent="0.3">
      <c r="A229" t="s">
        <v>721</v>
      </c>
      <c r="B229" t="s">
        <v>237</v>
      </c>
      <c r="C229" t="s">
        <v>581</v>
      </c>
      <c r="D229">
        <v>1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</row>
    <row r="230" spans="1:30" x14ac:dyDescent="0.3">
      <c r="A230" t="s">
        <v>722</v>
      </c>
      <c r="B230" t="s">
        <v>237</v>
      </c>
      <c r="C230" t="s">
        <v>717</v>
      </c>
      <c r="D230">
        <v>1</v>
      </c>
      <c r="E230">
        <v>1</v>
      </c>
      <c r="F230">
        <v>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</row>
    <row r="231" spans="1:30" x14ac:dyDescent="0.3">
      <c r="A231" t="s">
        <v>584</v>
      </c>
      <c r="B231" t="s">
        <v>239</v>
      </c>
      <c r="C231" t="s">
        <v>516</v>
      </c>
      <c r="D231">
        <v>1</v>
      </c>
      <c r="E231">
        <v>1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1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0" x14ac:dyDescent="0.3">
      <c r="A232" t="s">
        <v>723</v>
      </c>
      <c r="B232" t="s">
        <v>237</v>
      </c>
      <c r="C232" t="s">
        <v>557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0" x14ac:dyDescent="0.3">
      <c r="A233" t="s">
        <v>724</v>
      </c>
      <c r="B233" t="s">
        <v>237</v>
      </c>
      <c r="C233" t="s">
        <v>581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0" x14ac:dyDescent="0.3">
      <c r="A234" t="s">
        <v>725</v>
      </c>
      <c r="B234" t="s">
        <v>237</v>
      </c>
      <c r="C234" t="s">
        <v>58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</row>
    <row r="235" spans="1:30" x14ac:dyDescent="0.3">
      <c r="A235" t="s">
        <v>726</v>
      </c>
      <c r="B235" t="s">
        <v>237</v>
      </c>
      <c r="C235" t="s">
        <v>557</v>
      </c>
      <c r="D235">
        <v>1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</row>
    <row r="236" spans="1:30" x14ac:dyDescent="0.3">
      <c r="A236" t="s">
        <v>727</v>
      </c>
      <c r="B236" t="s">
        <v>237</v>
      </c>
      <c r="C236" t="s">
        <v>573</v>
      </c>
      <c r="D236">
        <v>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</row>
    <row r="237" spans="1:30" x14ac:dyDescent="0.3">
      <c r="A237" t="s">
        <v>728</v>
      </c>
      <c r="B237" t="s">
        <v>237</v>
      </c>
      <c r="C237" t="s">
        <v>591</v>
      </c>
      <c r="D237">
        <v>1</v>
      </c>
      <c r="E237">
        <v>0</v>
      </c>
      <c r="F237">
        <v>0</v>
      </c>
      <c r="G237">
        <v>1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</row>
    <row r="238" spans="1:30" x14ac:dyDescent="0.3">
      <c r="A238" t="s">
        <v>729</v>
      </c>
      <c r="B238" t="s">
        <v>237</v>
      </c>
      <c r="C238" t="s">
        <v>551</v>
      </c>
      <c r="D238">
        <v>1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</row>
    <row r="239" spans="1:30" x14ac:dyDescent="0.3">
      <c r="A239" t="s">
        <v>730</v>
      </c>
      <c r="B239" t="s">
        <v>237</v>
      </c>
      <c r="C239" t="s">
        <v>573</v>
      </c>
      <c r="D239">
        <v>1</v>
      </c>
      <c r="E239">
        <v>0</v>
      </c>
      <c r="F239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30" x14ac:dyDescent="0.3">
      <c r="A240" t="s">
        <v>731</v>
      </c>
      <c r="B240" t="s">
        <v>237</v>
      </c>
      <c r="C240" t="s">
        <v>489</v>
      </c>
      <c r="D240">
        <v>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</row>
    <row r="241" spans="1:30" x14ac:dyDescent="0.3">
      <c r="A241" t="s">
        <v>732</v>
      </c>
      <c r="B241" t="s">
        <v>237</v>
      </c>
      <c r="C241" t="s">
        <v>591</v>
      </c>
      <c r="D241">
        <v>1</v>
      </c>
      <c r="E241">
        <v>0</v>
      </c>
      <c r="F241">
        <v>0</v>
      </c>
      <c r="G241">
        <v>1</v>
      </c>
      <c r="H241">
        <v>0</v>
      </c>
      <c r="I241">
        <v>1</v>
      </c>
      <c r="J241">
        <v>0</v>
      </c>
      <c r="K241">
        <v>0</v>
      </c>
      <c r="L241">
        <v>0</v>
      </c>
      <c r="M241">
        <v>0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</row>
    <row r="242" spans="1:30" x14ac:dyDescent="0.3">
      <c r="A242" t="s">
        <v>733</v>
      </c>
      <c r="B242" t="s">
        <v>237</v>
      </c>
      <c r="C242" t="s">
        <v>503</v>
      </c>
      <c r="D242">
        <v>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</row>
    <row r="243" spans="1:30" x14ac:dyDescent="0.3">
      <c r="A243" t="s">
        <v>734</v>
      </c>
      <c r="B243" t="s">
        <v>237</v>
      </c>
      <c r="C243" t="s">
        <v>557</v>
      </c>
      <c r="D243">
        <v>1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</row>
    <row r="244" spans="1:30" x14ac:dyDescent="0.3">
      <c r="A244" t="s">
        <v>735</v>
      </c>
      <c r="B244" t="s">
        <v>237</v>
      </c>
      <c r="C244" t="s">
        <v>551</v>
      </c>
      <c r="D244">
        <v>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1</v>
      </c>
      <c r="O244">
        <v>0</v>
      </c>
      <c r="P244">
        <v>1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</row>
    <row r="245" spans="1:30" x14ac:dyDescent="0.3">
      <c r="A245" t="s">
        <v>736</v>
      </c>
      <c r="B245" t="s">
        <v>237</v>
      </c>
      <c r="C245" t="s">
        <v>559</v>
      </c>
      <c r="D245">
        <v>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</row>
    <row r="246" spans="1:30" x14ac:dyDescent="0.3">
      <c r="A246" t="s">
        <v>632</v>
      </c>
      <c r="B246" t="s">
        <v>238</v>
      </c>
      <c r="C246" t="s">
        <v>516</v>
      </c>
      <c r="D246">
        <v>1</v>
      </c>
      <c r="E246">
        <v>1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</row>
    <row r="247" spans="1:30" x14ac:dyDescent="0.3">
      <c r="A247" t="s">
        <v>737</v>
      </c>
      <c r="B247" t="s">
        <v>237</v>
      </c>
      <c r="C247" t="s">
        <v>512</v>
      </c>
      <c r="D247">
        <v>1</v>
      </c>
      <c r="E247">
        <v>1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</row>
    <row r="248" spans="1:30" x14ac:dyDescent="0.3">
      <c r="A248" t="s">
        <v>738</v>
      </c>
      <c r="B248" t="s">
        <v>237</v>
      </c>
      <c r="C248" t="s">
        <v>58</v>
      </c>
      <c r="D248">
        <v>1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</row>
    <row r="249" spans="1:30" x14ac:dyDescent="0.3">
      <c r="A249" t="s">
        <v>739</v>
      </c>
      <c r="B249" t="s">
        <v>237</v>
      </c>
      <c r="C249" t="s">
        <v>537</v>
      </c>
      <c r="D249">
        <v>1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</row>
    <row r="250" spans="1:30" x14ac:dyDescent="0.3">
      <c r="A250" t="s">
        <v>740</v>
      </c>
      <c r="B250" t="s">
        <v>237</v>
      </c>
      <c r="C250" t="s">
        <v>557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</row>
    <row r="251" spans="1:30" x14ac:dyDescent="0.3">
      <c r="A251" t="s">
        <v>741</v>
      </c>
      <c r="B251" t="s">
        <v>237</v>
      </c>
      <c r="C251" t="s">
        <v>524</v>
      </c>
      <c r="D251">
        <v>1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</row>
    <row r="252" spans="1:30" x14ac:dyDescent="0.3">
      <c r="A252" t="s">
        <v>641</v>
      </c>
      <c r="B252" t="s">
        <v>238</v>
      </c>
      <c r="C252" t="s">
        <v>717</v>
      </c>
      <c r="D252">
        <v>1</v>
      </c>
      <c r="E252">
        <v>1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</row>
    <row r="253" spans="1:30" x14ac:dyDescent="0.3">
      <c r="A253" t="s">
        <v>742</v>
      </c>
      <c r="B253" t="s">
        <v>237</v>
      </c>
      <c r="C253" t="s">
        <v>512</v>
      </c>
      <c r="D253">
        <v>1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</row>
    <row r="254" spans="1:30" x14ac:dyDescent="0.3">
      <c r="A254" t="s">
        <v>743</v>
      </c>
      <c r="B254" t="s">
        <v>238</v>
      </c>
      <c r="C254" t="s">
        <v>557</v>
      </c>
      <c r="D254">
        <v>1</v>
      </c>
      <c r="E254">
        <v>1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</row>
    <row r="255" spans="1:30" x14ac:dyDescent="0.3">
      <c r="A255" t="s">
        <v>744</v>
      </c>
      <c r="B255" t="s">
        <v>237</v>
      </c>
      <c r="C255" t="s">
        <v>518</v>
      </c>
      <c r="D255">
        <v>1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</row>
    <row r="256" spans="1:30" x14ac:dyDescent="0.3">
      <c r="A256" t="s">
        <v>745</v>
      </c>
      <c r="B256" t="s">
        <v>237</v>
      </c>
      <c r="C256" t="s">
        <v>518</v>
      </c>
      <c r="D256">
        <v>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</row>
    <row r="257" spans="1:30" x14ac:dyDescent="0.3">
      <c r="A257" t="s">
        <v>746</v>
      </c>
      <c r="B257" t="s">
        <v>237</v>
      </c>
      <c r="C257" t="s">
        <v>581</v>
      </c>
      <c r="D257">
        <v>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</row>
    <row r="258" spans="1:30" x14ac:dyDescent="0.3">
      <c r="A258" t="s">
        <v>748</v>
      </c>
      <c r="B258" t="s">
        <v>237</v>
      </c>
      <c r="C258" t="s">
        <v>551</v>
      </c>
      <c r="D258">
        <v>1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30" x14ac:dyDescent="0.3">
      <c r="A259" t="s">
        <v>749</v>
      </c>
      <c r="B259" t="s">
        <v>237</v>
      </c>
      <c r="C259" t="s">
        <v>512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</row>
    <row r="260" spans="1:30" x14ac:dyDescent="0.3">
      <c r="A260" t="s">
        <v>750</v>
      </c>
      <c r="B260" t="s">
        <v>238</v>
      </c>
      <c r="C260" t="s">
        <v>717</v>
      </c>
      <c r="D260">
        <v>1</v>
      </c>
      <c r="E260">
        <v>0</v>
      </c>
      <c r="F260">
        <v>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</row>
    <row r="261" spans="1:30" x14ac:dyDescent="0.3">
      <c r="A261" t="s">
        <v>751</v>
      </c>
      <c r="B261" t="s">
        <v>238</v>
      </c>
      <c r="C261" t="s">
        <v>717</v>
      </c>
      <c r="D261">
        <v>1</v>
      </c>
      <c r="E261">
        <v>1</v>
      </c>
      <c r="F261">
        <v>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</row>
    <row r="262" spans="1:30" x14ac:dyDescent="0.3">
      <c r="A262" t="s">
        <v>752</v>
      </c>
      <c r="B262" t="s">
        <v>238</v>
      </c>
      <c r="C262" t="s">
        <v>717</v>
      </c>
      <c r="D262">
        <v>1</v>
      </c>
      <c r="E262">
        <v>1</v>
      </c>
      <c r="F262">
        <v>1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</row>
    <row r="263" spans="1:30" x14ac:dyDescent="0.3">
      <c r="A263" t="s">
        <v>753</v>
      </c>
      <c r="B263" t="s">
        <v>238</v>
      </c>
      <c r="C263" t="s">
        <v>717</v>
      </c>
      <c r="D263">
        <v>1</v>
      </c>
      <c r="E263">
        <v>1</v>
      </c>
      <c r="F263">
        <v>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</row>
    <row r="264" spans="1:30" x14ac:dyDescent="0.3">
      <c r="A264" t="s">
        <v>754</v>
      </c>
      <c r="B264" t="s">
        <v>239</v>
      </c>
      <c r="C264" t="s">
        <v>717</v>
      </c>
      <c r="D264">
        <v>1</v>
      </c>
      <c r="E264">
        <v>0</v>
      </c>
      <c r="F264">
        <v>1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0" x14ac:dyDescent="0.3">
      <c r="A265" t="s">
        <v>683</v>
      </c>
      <c r="B265" t="s">
        <v>237</v>
      </c>
      <c r="C265" t="s">
        <v>537</v>
      </c>
      <c r="D265">
        <v>1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0" x14ac:dyDescent="0.3">
      <c r="A266" t="s">
        <v>755</v>
      </c>
      <c r="B266" t="s">
        <v>237</v>
      </c>
      <c r="C266" t="s">
        <v>474</v>
      </c>
      <c r="D266">
        <v>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0" x14ac:dyDescent="0.3">
      <c r="A267" t="s">
        <v>756</v>
      </c>
      <c r="B267" t="s">
        <v>237</v>
      </c>
      <c r="C267" t="s">
        <v>551</v>
      </c>
      <c r="D267">
        <v>1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</row>
    <row r="268" spans="1:30" x14ac:dyDescent="0.3">
      <c r="A268" t="s">
        <v>757</v>
      </c>
      <c r="B268" t="s">
        <v>237</v>
      </c>
      <c r="C268" t="s">
        <v>559</v>
      </c>
      <c r="D268">
        <v>1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</row>
    <row r="269" spans="1:30" x14ac:dyDescent="0.3">
      <c r="A269" t="s">
        <v>758</v>
      </c>
      <c r="B269" t="s">
        <v>237</v>
      </c>
      <c r="C269" t="s">
        <v>58</v>
      </c>
      <c r="D269">
        <v>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</row>
    <row r="270" spans="1:30" x14ac:dyDescent="0.3">
      <c r="A270" t="s">
        <v>759</v>
      </c>
      <c r="B270" t="s">
        <v>237</v>
      </c>
      <c r="C270" t="s">
        <v>569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</row>
    <row r="271" spans="1:30" x14ac:dyDescent="0.3">
      <c r="A271" t="s">
        <v>760</v>
      </c>
      <c r="B271" t="s">
        <v>237</v>
      </c>
      <c r="C271" t="s">
        <v>483</v>
      </c>
      <c r="D271">
        <v>1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</row>
    <row r="272" spans="1:30" x14ac:dyDescent="0.3">
      <c r="A272" t="s">
        <v>761</v>
      </c>
      <c r="B272" t="s">
        <v>237</v>
      </c>
      <c r="C272" t="s">
        <v>595</v>
      </c>
      <c r="D272">
        <v>1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1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</row>
    <row r="273" spans="1:30" x14ac:dyDescent="0.3">
      <c r="A273" t="s">
        <v>762</v>
      </c>
      <c r="B273" t="s">
        <v>237</v>
      </c>
      <c r="C273" t="s">
        <v>529</v>
      </c>
      <c r="D273">
        <v>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1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</row>
    <row r="274" spans="1:30" x14ac:dyDescent="0.3">
      <c r="A274" t="s">
        <v>763</v>
      </c>
      <c r="B274" t="s">
        <v>237</v>
      </c>
      <c r="C274" t="s">
        <v>537</v>
      </c>
      <c r="D274">
        <v>1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</row>
    <row r="275" spans="1:30" x14ac:dyDescent="0.3">
      <c r="A275" t="s">
        <v>764</v>
      </c>
      <c r="B275" t="s">
        <v>237</v>
      </c>
      <c r="C275" t="s">
        <v>58</v>
      </c>
      <c r="D275">
        <v>1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</row>
    <row r="276" spans="1:30" x14ac:dyDescent="0.3">
      <c r="A276" t="s">
        <v>764</v>
      </c>
      <c r="B276" t="s">
        <v>237</v>
      </c>
      <c r="C276" t="s">
        <v>559</v>
      </c>
      <c r="D276">
        <v>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30" x14ac:dyDescent="0.3">
      <c r="A277" t="s">
        <v>765</v>
      </c>
      <c r="B277" t="s">
        <v>237</v>
      </c>
      <c r="C277" t="s">
        <v>524</v>
      </c>
      <c r="D277">
        <v>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</row>
    <row r="278" spans="1:30" x14ac:dyDescent="0.3">
      <c r="A278" t="s">
        <v>766</v>
      </c>
      <c r="B278" t="s">
        <v>237</v>
      </c>
      <c r="C278" t="s">
        <v>524</v>
      </c>
      <c r="D278">
        <v>1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</row>
    <row r="279" spans="1:30" x14ac:dyDescent="0.3">
      <c r="A279" t="s">
        <v>767</v>
      </c>
      <c r="B279" t="s">
        <v>237</v>
      </c>
      <c r="C279" t="s">
        <v>516</v>
      </c>
      <c r="D279">
        <v>1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1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</row>
    <row r="280" spans="1:30" x14ac:dyDescent="0.3">
      <c r="A280" t="s">
        <v>768</v>
      </c>
      <c r="B280" t="s">
        <v>237</v>
      </c>
      <c r="C280" t="s">
        <v>551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</row>
    <row r="281" spans="1:30" x14ac:dyDescent="0.3">
      <c r="A281" t="s">
        <v>769</v>
      </c>
      <c r="B281" t="s">
        <v>770</v>
      </c>
      <c r="C281" t="s">
        <v>770</v>
      </c>
      <c r="D281">
        <v>0</v>
      </c>
      <c r="E281">
        <v>0</v>
      </c>
      <c r="F281">
        <v>1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0</v>
      </c>
      <c r="V281">
        <v>1</v>
      </c>
      <c r="W281">
        <v>1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</row>
    <row r="282" spans="1:30" x14ac:dyDescent="0.3">
      <c r="A282" t="s">
        <v>772</v>
      </c>
      <c r="B282" t="s">
        <v>770</v>
      </c>
      <c r="C282" t="s">
        <v>770</v>
      </c>
      <c r="D282">
        <v>1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1</v>
      </c>
      <c r="W282">
        <v>1</v>
      </c>
      <c r="X282">
        <v>1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</row>
    <row r="283" spans="1:30" x14ac:dyDescent="0.3">
      <c r="A283" t="s">
        <v>774</v>
      </c>
      <c r="B283" t="s">
        <v>1190</v>
      </c>
      <c r="C283" t="s">
        <v>773</v>
      </c>
      <c r="D283">
        <v>1</v>
      </c>
      <c r="E283">
        <v>0</v>
      </c>
      <c r="F283">
        <v>1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1</v>
      </c>
      <c r="X283">
        <v>1</v>
      </c>
      <c r="Y283">
        <v>0</v>
      </c>
      <c r="Z283">
        <v>0</v>
      </c>
      <c r="AA283">
        <v>0</v>
      </c>
      <c r="AB283">
        <v>1</v>
      </c>
      <c r="AC283">
        <v>0</v>
      </c>
      <c r="AD283">
        <v>0</v>
      </c>
    </row>
    <row r="284" spans="1:30" x14ac:dyDescent="0.3">
      <c r="A284" t="s">
        <v>536</v>
      </c>
      <c r="B284" t="s">
        <v>1190</v>
      </c>
      <c r="C284" t="s">
        <v>773</v>
      </c>
      <c r="D284">
        <v>1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0</v>
      </c>
      <c r="V284">
        <v>1</v>
      </c>
      <c r="W284">
        <v>1</v>
      </c>
      <c r="X284">
        <v>1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</row>
    <row r="285" spans="1:30" x14ac:dyDescent="0.3">
      <c r="A285" t="s">
        <v>622</v>
      </c>
      <c r="B285" t="s">
        <v>1190</v>
      </c>
      <c r="C285" t="s">
        <v>58</v>
      </c>
      <c r="D285">
        <v>1</v>
      </c>
      <c r="E285">
        <v>1</v>
      </c>
      <c r="F285">
        <v>1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1</v>
      </c>
      <c r="W285">
        <v>1</v>
      </c>
      <c r="X285">
        <v>1</v>
      </c>
      <c r="Y285">
        <v>0</v>
      </c>
      <c r="Z285">
        <v>0</v>
      </c>
      <c r="AA285">
        <v>0</v>
      </c>
      <c r="AB285">
        <v>1</v>
      </c>
      <c r="AC285">
        <v>0</v>
      </c>
      <c r="AD285">
        <v>0</v>
      </c>
    </row>
    <row r="286" spans="1:30" x14ac:dyDescent="0.3">
      <c r="A286" t="s">
        <v>775</v>
      </c>
      <c r="B286" t="s">
        <v>1190</v>
      </c>
      <c r="C286" t="s">
        <v>807</v>
      </c>
      <c r="D286">
        <v>1</v>
      </c>
      <c r="E286">
        <v>0</v>
      </c>
      <c r="F286">
        <v>1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1</v>
      </c>
      <c r="W286">
        <v>1</v>
      </c>
      <c r="X286">
        <v>1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0</v>
      </c>
    </row>
    <row r="287" spans="1:30" x14ac:dyDescent="0.3">
      <c r="A287" t="s">
        <v>776</v>
      </c>
      <c r="B287" t="s">
        <v>1190</v>
      </c>
      <c r="C287" t="s">
        <v>770</v>
      </c>
      <c r="D287">
        <v>1</v>
      </c>
      <c r="E287">
        <v>1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1</v>
      </c>
      <c r="W287">
        <v>1</v>
      </c>
      <c r="X287">
        <v>1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</row>
    <row r="288" spans="1:30" x14ac:dyDescent="0.3">
      <c r="A288" t="s">
        <v>777</v>
      </c>
      <c r="B288" t="s">
        <v>1191</v>
      </c>
      <c r="C288" t="s">
        <v>770</v>
      </c>
      <c r="D288">
        <v>1</v>
      </c>
      <c r="E288">
        <v>0</v>
      </c>
      <c r="F288">
        <v>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1</v>
      </c>
      <c r="W288">
        <v>1</v>
      </c>
      <c r="X288">
        <v>1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</row>
    <row r="289" spans="1:30" x14ac:dyDescent="0.3">
      <c r="A289" t="s">
        <v>778</v>
      </c>
      <c r="B289" t="s">
        <v>1190</v>
      </c>
      <c r="C289" t="s">
        <v>58</v>
      </c>
      <c r="D289">
        <v>1</v>
      </c>
      <c r="E289">
        <v>1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1</v>
      </c>
      <c r="AC289">
        <v>0</v>
      </c>
      <c r="AD289">
        <v>0</v>
      </c>
    </row>
    <row r="290" spans="1:30" x14ac:dyDescent="0.3">
      <c r="A290" t="s">
        <v>779</v>
      </c>
      <c r="B290" t="s">
        <v>770</v>
      </c>
      <c r="C290" t="s">
        <v>770</v>
      </c>
      <c r="D290">
        <v>1</v>
      </c>
      <c r="E290">
        <v>1</v>
      </c>
      <c r="F290">
        <v>1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0</v>
      </c>
      <c r="V290">
        <v>1</v>
      </c>
      <c r="W290">
        <v>1</v>
      </c>
      <c r="X290">
        <v>1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</row>
    <row r="291" spans="1:30" x14ac:dyDescent="0.3">
      <c r="A291" t="s">
        <v>780</v>
      </c>
      <c r="B291" t="s">
        <v>1192</v>
      </c>
      <c r="C291" t="s">
        <v>773</v>
      </c>
      <c r="D291">
        <v>1</v>
      </c>
      <c r="E291">
        <v>1</v>
      </c>
      <c r="F291">
        <v>1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1</v>
      </c>
      <c r="S291">
        <v>0</v>
      </c>
      <c r="T291">
        <v>1</v>
      </c>
      <c r="U291">
        <v>0</v>
      </c>
      <c r="V291">
        <v>1</v>
      </c>
      <c r="W291">
        <v>1</v>
      </c>
      <c r="X291">
        <v>1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0</v>
      </c>
    </row>
    <row r="292" spans="1:30" x14ac:dyDescent="0.3">
      <c r="A292" t="s">
        <v>781</v>
      </c>
      <c r="B292" t="s">
        <v>1192</v>
      </c>
      <c r="C292" t="s">
        <v>773</v>
      </c>
      <c r="D292">
        <v>1</v>
      </c>
      <c r="E292">
        <v>0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V292">
        <v>1</v>
      </c>
      <c r="W292">
        <v>1</v>
      </c>
      <c r="X292">
        <v>1</v>
      </c>
      <c r="Y292">
        <v>0</v>
      </c>
      <c r="Z292">
        <v>0</v>
      </c>
      <c r="AA292">
        <v>0</v>
      </c>
      <c r="AB292">
        <v>1</v>
      </c>
      <c r="AC292">
        <v>1</v>
      </c>
      <c r="AD292">
        <v>0</v>
      </c>
    </row>
    <row r="293" spans="1:30" x14ac:dyDescent="0.3">
      <c r="A293" t="s">
        <v>782</v>
      </c>
      <c r="B293" t="s">
        <v>1190</v>
      </c>
      <c r="C293" t="s">
        <v>770</v>
      </c>
      <c r="D293">
        <v>1</v>
      </c>
      <c r="E293">
        <v>0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0</v>
      </c>
      <c r="V293">
        <v>1</v>
      </c>
      <c r="W293">
        <v>1</v>
      </c>
      <c r="X293">
        <v>1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</row>
    <row r="294" spans="1:30" x14ac:dyDescent="0.3">
      <c r="A294" t="s">
        <v>743</v>
      </c>
      <c r="B294" t="s">
        <v>1192</v>
      </c>
      <c r="C294" t="s">
        <v>557</v>
      </c>
      <c r="D294">
        <v>1</v>
      </c>
      <c r="E294">
        <v>1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V294">
        <v>1</v>
      </c>
      <c r="W294">
        <v>1</v>
      </c>
      <c r="X294">
        <v>1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0</v>
      </c>
    </row>
    <row r="295" spans="1:30" x14ac:dyDescent="0.3">
      <c r="A295" t="s">
        <v>519</v>
      </c>
      <c r="B295" t="s">
        <v>1193</v>
      </c>
      <c r="C295" t="s">
        <v>773</v>
      </c>
      <c r="D295">
        <v>1</v>
      </c>
      <c r="E295">
        <v>1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0</v>
      </c>
      <c r="V295">
        <v>1</v>
      </c>
      <c r="W295">
        <v>1</v>
      </c>
      <c r="X295">
        <v>1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0</v>
      </c>
    </row>
    <row r="296" spans="1:30" x14ac:dyDescent="0.3">
      <c r="A296" t="s">
        <v>783</v>
      </c>
      <c r="B296" t="s">
        <v>1193</v>
      </c>
      <c r="C296" t="s">
        <v>773</v>
      </c>
      <c r="D296">
        <v>1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0</v>
      </c>
      <c r="V296">
        <v>1</v>
      </c>
      <c r="W296">
        <v>1</v>
      </c>
      <c r="X296">
        <v>1</v>
      </c>
      <c r="Y296">
        <v>0</v>
      </c>
      <c r="Z296">
        <v>0</v>
      </c>
      <c r="AA296">
        <v>0</v>
      </c>
      <c r="AB296">
        <v>0</v>
      </c>
      <c r="AC296">
        <v>1</v>
      </c>
      <c r="AD296">
        <v>0</v>
      </c>
    </row>
    <row r="297" spans="1:30" x14ac:dyDescent="0.3">
      <c r="A297" t="s">
        <v>784</v>
      </c>
      <c r="B297" t="s">
        <v>1191</v>
      </c>
      <c r="C297" t="s">
        <v>770</v>
      </c>
      <c r="D297">
        <v>1</v>
      </c>
      <c r="E297">
        <v>1</v>
      </c>
      <c r="F297">
        <v>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</v>
      </c>
      <c r="W297">
        <v>1</v>
      </c>
      <c r="X297">
        <v>1</v>
      </c>
      <c r="Y297">
        <v>0</v>
      </c>
      <c r="Z297">
        <v>0</v>
      </c>
      <c r="AA297">
        <v>0</v>
      </c>
      <c r="AB297">
        <v>1</v>
      </c>
      <c r="AC297">
        <v>1</v>
      </c>
      <c r="AD297">
        <v>0</v>
      </c>
    </row>
    <row r="298" spans="1:30" x14ac:dyDescent="0.3">
      <c r="A298" t="s">
        <v>785</v>
      </c>
      <c r="B298" t="s">
        <v>1193</v>
      </c>
      <c r="C298" t="s">
        <v>773</v>
      </c>
      <c r="D298">
        <v>1</v>
      </c>
      <c r="E298">
        <v>1</v>
      </c>
      <c r="F298">
        <v>1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0</v>
      </c>
    </row>
    <row r="299" spans="1:30" x14ac:dyDescent="0.3">
      <c r="A299" t="s">
        <v>786</v>
      </c>
      <c r="B299" t="s">
        <v>770</v>
      </c>
      <c r="C299" t="s">
        <v>770</v>
      </c>
      <c r="D299">
        <v>1</v>
      </c>
      <c r="E299">
        <v>1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0</v>
      </c>
      <c r="V299">
        <v>1</v>
      </c>
      <c r="W299">
        <v>1</v>
      </c>
      <c r="X299">
        <v>1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0" x14ac:dyDescent="0.3">
      <c r="A300" t="s">
        <v>787</v>
      </c>
      <c r="B300" t="s">
        <v>1192</v>
      </c>
      <c r="C300" t="s">
        <v>807</v>
      </c>
      <c r="D300">
        <v>1</v>
      </c>
      <c r="E300">
        <v>1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1</v>
      </c>
      <c r="W300">
        <v>1</v>
      </c>
      <c r="X300">
        <v>1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</row>
    <row r="301" spans="1:30" x14ac:dyDescent="0.3">
      <c r="A301" t="s">
        <v>788</v>
      </c>
      <c r="B301" t="s">
        <v>770</v>
      </c>
      <c r="C301" t="s">
        <v>770</v>
      </c>
      <c r="D301">
        <v>1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</row>
    <row r="302" spans="1:30" x14ac:dyDescent="0.3">
      <c r="A302" t="s">
        <v>789</v>
      </c>
      <c r="B302" t="s">
        <v>1192</v>
      </c>
      <c r="C302" t="s">
        <v>807</v>
      </c>
      <c r="D302">
        <v>1</v>
      </c>
      <c r="E302">
        <v>0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1</v>
      </c>
      <c r="W302">
        <v>1</v>
      </c>
      <c r="X302">
        <v>1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0</v>
      </c>
    </row>
    <row r="303" spans="1:30" x14ac:dyDescent="0.3">
      <c r="A303" t="s">
        <v>790</v>
      </c>
      <c r="B303" t="s">
        <v>770</v>
      </c>
      <c r="C303" t="s">
        <v>770</v>
      </c>
      <c r="D303">
        <v>1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0</v>
      </c>
      <c r="V303">
        <v>1</v>
      </c>
      <c r="W303">
        <v>1</v>
      </c>
      <c r="X303">
        <v>1</v>
      </c>
      <c r="Y303">
        <v>0</v>
      </c>
      <c r="Z303">
        <v>0</v>
      </c>
      <c r="AA303">
        <v>0</v>
      </c>
      <c r="AB303">
        <v>0</v>
      </c>
      <c r="AC303">
        <v>1</v>
      </c>
      <c r="AD303">
        <v>0</v>
      </c>
    </row>
    <row r="304" spans="1:30" x14ac:dyDescent="0.3">
      <c r="A304" t="s">
        <v>791</v>
      </c>
      <c r="B304" t="s">
        <v>1193</v>
      </c>
      <c r="C304" t="s">
        <v>773</v>
      </c>
      <c r="D304">
        <v>1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0</v>
      </c>
      <c r="V304">
        <v>1</v>
      </c>
      <c r="W304">
        <v>1</v>
      </c>
      <c r="X304">
        <v>1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0</v>
      </c>
    </row>
    <row r="305" spans="1:30" x14ac:dyDescent="0.3">
      <c r="A305" t="s">
        <v>792</v>
      </c>
      <c r="B305" t="s">
        <v>1191</v>
      </c>
      <c r="C305" t="s">
        <v>770</v>
      </c>
      <c r="D305">
        <v>1</v>
      </c>
      <c r="E305">
        <v>0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0</v>
      </c>
      <c r="V305">
        <v>1</v>
      </c>
      <c r="W305">
        <v>1</v>
      </c>
      <c r="X305">
        <v>1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0</v>
      </c>
    </row>
    <row r="306" spans="1:30" x14ac:dyDescent="0.3">
      <c r="A306" t="s">
        <v>793</v>
      </c>
      <c r="B306" t="s">
        <v>1193</v>
      </c>
      <c r="C306" t="s">
        <v>773</v>
      </c>
      <c r="D306">
        <v>1</v>
      </c>
      <c r="E306">
        <v>1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1</v>
      </c>
      <c r="X306">
        <v>1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0</v>
      </c>
    </row>
    <row r="307" spans="1:30" x14ac:dyDescent="0.3">
      <c r="A307" t="s">
        <v>794</v>
      </c>
      <c r="B307" t="s">
        <v>1193</v>
      </c>
      <c r="C307" t="s">
        <v>773</v>
      </c>
      <c r="D307">
        <v>1</v>
      </c>
      <c r="E307">
        <v>1</v>
      </c>
      <c r="F307">
        <v>1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1</v>
      </c>
      <c r="W307">
        <v>1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1</v>
      </c>
      <c r="AD307">
        <v>0</v>
      </c>
    </row>
    <row r="308" spans="1:30" x14ac:dyDescent="0.3">
      <c r="A308" t="s">
        <v>795</v>
      </c>
      <c r="B308" t="s">
        <v>1193</v>
      </c>
      <c r="C308" t="s">
        <v>773</v>
      </c>
      <c r="D308">
        <v>1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0</v>
      </c>
      <c r="V308">
        <v>1</v>
      </c>
      <c r="W308">
        <v>1</v>
      </c>
      <c r="X308">
        <v>1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</row>
    <row r="309" spans="1:30" x14ac:dyDescent="0.3">
      <c r="A309" t="s">
        <v>796</v>
      </c>
      <c r="B309" t="s">
        <v>1193</v>
      </c>
      <c r="C309" t="s">
        <v>773</v>
      </c>
      <c r="D309">
        <v>1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0</v>
      </c>
      <c r="V309">
        <v>1</v>
      </c>
      <c r="W309">
        <v>1</v>
      </c>
      <c r="X309">
        <v>1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</row>
    <row r="310" spans="1:30" x14ac:dyDescent="0.3">
      <c r="A310" t="s">
        <v>797</v>
      </c>
      <c r="B310" t="s">
        <v>1193</v>
      </c>
      <c r="C310" t="s">
        <v>773</v>
      </c>
      <c r="D310">
        <v>1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1</v>
      </c>
      <c r="S310">
        <v>1</v>
      </c>
      <c r="T310">
        <v>1</v>
      </c>
      <c r="U310">
        <v>0</v>
      </c>
      <c r="V310">
        <v>1</v>
      </c>
      <c r="W310">
        <v>1</v>
      </c>
      <c r="X310">
        <v>1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</row>
    <row r="311" spans="1:30" x14ac:dyDescent="0.3">
      <c r="A311" t="s">
        <v>798</v>
      </c>
      <c r="B311" t="s">
        <v>1193</v>
      </c>
      <c r="C311" t="s">
        <v>773</v>
      </c>
      <c r="D311">
        <v>1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1</v>
      </c>
      <c r="T311">
        <v>1</v>
      </c>
      <c r="U311">
        <v>0</v>
      </c>
      <c r="V311">
        <v>1</v>
      </c>
      <c r="W311">
        <v>1</v>
      </c>
      <c r="X311">
        <v>1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0</v>
      </c>
    </row>
    <row r="312" spans="1:30" x14ac:dyDescent="0.3">
      <c r="A312" t="s">
        <v>799</v>
      </c>
      <c r="B312" t="s">
        <v>1193</v>
      </c>
      <c r="C312" t="s">
        <v>773</v>
      </c>
      <c r="D312">
        <v>1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1</v>
      </c>
      <c r="U312">
        <v>0</v>
      </c>
      <c r="V312">
        <v>1</v>
      </c>
      <c r="W312">
        <v>1</v>
      </c>
      <c r="X312">
        <v>1</v>
      </c>
      <c r="Y312">
        <v>0</v>
      </c>
      <c r="Z312">
        <v>0</v>
      </c>
      <c r="AA312">
        <v>0</v>
      </c>
      <c r="AB312">
        <v>0</v>
      </c>
      <c r="AC312">
        <v>1</v>
      </c>
      <c r="AD312">
        <v>0</v>
      </c>
    </row>
    <row r="313" spans="1:30" x14ac:dyDescent="0.3">
      <c r="A313" t="s">
        <v>800</v>
      </c>
      <c r="B313" t="s">
        <v>1193</v>
      </c>
      <c r="C313" t="s">
        <v>773</v>
      </c>
      <c r="D313">
        <v>1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</v>
      </c>
      <c r="AC313">
        <v>1</v>
      </c>
      <c r="AD313">
        <v>0</v>
      </c>
    </row>
    <row r="314" spans="1:30" x14ac:dyDescent="0.3">
      <c r="A314" t="s">
        <v>801</v>
      </c>
      <c r="B314" t="s">
        <v>770</v>
      </c>
      <c r="C314" t="s">
        <v>770</v>
      </c>
      <c r="D314">
        <v>1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0</v>
      </c>
      <c r="V314">
        <v>1</v>
      </c>
      <c r="W314">
        <v>1</v>
      </c>
      <c r="X314">
        <v>1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</row>
    <row r="315" spans="1:30" x14ac:dyDescent="0.3">
      <c r="A315" t="s">
        <v>802</v>
      </c>
      <c r="B315" t="s">
        <v>770</v>
      </c>
      <c r="C315" t="s">
        <v>770</v>
      </c>
      <c r="D315">
        <v>1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1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1</v>
      </c>
      <c r="AD315">
        <v>0</v>
      </c>
    </row>
    <row r="316" spans="1:30" x14ac:dyDescent="0.3">
      <c r="A316" t="s">
        <v>803</v>
      </c>
      <c r="B316" t="s">
        <v>1193</v>
      </c>
      <c r="C316" t="s">
        <v>773</v>
      </c>
      <c r="D316">
        <v>1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0</v>
      </c>
      <c r="V316">
        <v>1</v>
      </c>
      <c r="W316">
        <v>1</v>
      </c>
      <c r="X316">
        <v>1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</row>
    <row r="317" spans="1:30" x14ac:dyDescent="0.3">
      <c r="A317" t="s">
        <v>617</v>
      </c>
      <c r="B317" t="s">
        <v>1193</v>
      </c>
      <c r="C317" t="s">
        <v>773</v>
      </c>
      <c r="D317">
        <v>1</v>
      </c>
      <c r="E317">
        <v>1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0</v>
      </c>
      <c r="V317">
        <v>1</v>
      </c>
      <c r="W317">
        <v>1</v>
      </c>
      <c r="X317">
        <v>1</v>
      </c>
      <c r="Y317">
        <v>0</v>
      </c>
      <c r="Z317">
        <v>0</v>
      </c>
      <c r="AA317">
        <v>0</v>
      </c>
      <c r="AB317">
        <v>0</v>
      </c>
      <c r="AC317">
        <v>1</v>
      </c>
      <c r="AD317">
        <v>0</v>
      </c>
    </row>
    <row r="318" spans="1:30" x14ac:dyDescent="0.3">
      <c r="A318" t="s">
        <v>804</v>
      </c>
      <c r="B318" t="s">
        <v>1193</v>
      </c>
      <c r="C318" t="s">
        <v>773</v>
      </c>
      <c r="D318">
        <v>1</v>
      </c>
      <c r="E318">
        <v>1</v>
      </c>
      <c r="F318">
        <v>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1</v>
      </c>
      <c r="W318">
        <v>1</v>
      </c>
      <c r="X318">
        <v>1</v>
      </c>
      <c r="Y318">
        <v>0</v>
      </c>
      <c r="Z318">
        <v>0</v>
      </c>
      <c r="AA318">
        <v>0</v>
      </c>
      <c r="AB318">
        <v>1</v>
      </c>
      <c r="AC318">
        <v>1</v>
      </c>
      <c r="AD318">
        <v>0</v>
      </c>
    </row>
    <row r="319" spans="1:30" x14ac:dyDescent="0.3">
      <c r="A319" t="s">
        <v>805</v>
      </c>
      <c r="B319" t="s">
        <v>770</v>
      </c>
      <c r="C319" t="s">
        <v>770</v>
      </c>
      <c r="D319">
        <v>1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0</v>
      </c>
      <c r="V319">
        <v>1</v>
      </c>
      <c r="W319">
        <v>1</v>
      </c>
      <c r="X319">
        <v>1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0</v>
      </c>
    </row>
    <row r="320" spans="1:30" x14ac:dyDescent="0.3">
      <c r="A320" t="s">
        <v>806</v>
      </c>
      <c r="B320" t="s">
        <v>770</v>
      </c>
      <c r="C320" t="s">
        <v>770</v>
      </c>
      <c r="D320">
        <v>1</v>
      </c>
      <c r="E320">
        <v>1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0</v>
      </c>
      <c r="V320">
        <v>1</v>
      </c>
      <c r="W320">
        <v>1</v>
      </c>
      <c r="X320">
        <v>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30" x14ac:dyDescent="0.3">
      <c r="A321" t="s">
        <v>605</v>
      </c>
      <c r="B321" t="s">
        <v>1190</v>
      </c>
      <c r="C321" t="s">
        <v>807</v>
      </c>
      <c r="D321">
        <v>1</v>
      </c>
      <c r="E321">
        <v>0</v>
      </c>
      <c r="F321">
        <v>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1</v>
      </c>
      <c r="W321">
        <v>1</v>
      </c>
      <c r="X321">
        <v>1</v>
      </c>
      <c r="Y321">
        <v>0</v>
      </c>
      <c r="Z321">
        <v>0</v>
      </c>
      <c r="AA321">
        <v>0</v>
      </c>
      <c r="AB321">
        <v>1</v>
      </c>
      <c r="AC321">
        <v>0</v>
      </c>
      <c r="AD321">
        <v>0</v>
      </c>
    </row>
    <row r="322" spans="1:30" x14ac:dyDescent="0.3">
      <c r="A322" t="s">
        <v>808</v>
      </c>
      <c r="B322" t="s">
        <v>770</v>
      </c>
      <c r="C322" t="s">
        <v>770</v>
      </c>
      <c r="D322">
        <v>1</v>
      </c>
      <c r="E322">
        <v>1</v>
      </c>
      <c r="F322">
        <v>1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0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</row>
    <row r="323" spans="1:30" x14ac:dyDescent="0.3">
      <c r="A323" t="s">
        <v>809</v>
      </c>
      <c r="B323" t="s">
        <v>1190</v>
      </c>
      <c r="C323" t="s">
        <v>770</v>
      </c>
      <c r="D323">
        <v>1</v>
      </c>
      <c r="E323">
        <v>0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1</v>
      </c>
      <c r="AC323">
        <v>0</v>
      </c>
      <c r="AD323">
        <v>0</v>
      </c>
    </row>
    <row r="324" spans="1:30" x14ac:dyDescent="0.3">
      <c r="A324" t="s">
        <v>810</v>
      </c>
      <c r="B324" t="s">
        <v>1190</v>
      </c>
      <c r="C324" t="s">
        <v>771</v>
      </c>
      <c r="D324">
        <v>1</v>
      </c>
      <c r="E324">
        <v>1</v>
      </c>
      <c r="F324">
        <v>1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</row>
    <row r="325" spans="1:30" x14ac:dyDescent="0.3">
      <c r="A325" t="s">
        <v>811</v>
      </c>
      <c r="B325" t="s">
        <v>770</v>
      </c>
      <c r="C325" t="s">
        <v>770</v>
      </c>
      <c r="D325">
        <v>1</v>
      </c>
      <c r="E325">
        <v>1</v>
      </c>
      <c r="F325">
        <v>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</row>
    <row r="326" spans="1:30" x14ac:dyDescent="0.3">
      <c r="A326" t="s">
        <v>812</v>
      </c>
      <c r="B326" t="s">
        <v>1190</v>
      </c>
      <c r="C326" t="s">
        <v>773</v>
      </c>
      <c r="D326">
        <v>1</v>
      </c>
      <c r="E326">
        <v>0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0</v>
      </c>
      <c r="V326">
        <v>1</v>
      </c>
      <c r="W326">
        <v>1</v>
      </c>
      <c r="X326">
        <v>1</v>
      </c>
      <c r="Y326">
        <v>0</v>
      </c>
      <c r="Z326">
        <v>0</v>
      </c>
      <c r="AA326">
        <v>0</v>
      </c>
      <c r="AB326">
        <v>1</v>
      </c>
      <c r="AC326">
        <v>0</v>
      </c>
      <c r="AD326">
        <v>0</v>
      </c>
    </row>
    <row r="327" spans="1:30" x14ac:dyDescent="0.3">
      <c r="A327" t="s">
        <v>813</v>
      </c>
      <c r="B327" t="s">
        <v>770</v>
      </c>
      <c r="C327" t="s">
        <v>770</v>
      </c>
      <c r="D327">
        <v>1</v>
      </c>
      <c r="E327">
        <v>0</v>
      </c>
      <c r="F327">
        <v>1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</row>
    <row r="328" spans="1:30" x14ac:dyDescent="0.3">
      <c r="A328" t="s">
        <v>814</v>
      </c>
      <c r="B328" t="s">
        <v>1193</v>
      </c>
      <c r="C328" t="s">
        <v>771</v>
      </c>
      <c r="D328">
        <v>1</v>
      </c>
      <c r="E328">
        <v>1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1</v>
      </c>
      <c r="S328">
        <v>0</v>
      </c>
      <c r="T328">
        <v>0</v>
      </c>
      <c r="U328">
        <v>0</v>
      </c>
      <c r="V328">
        <v>0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</row>
    <row r="329" spans="1:30" x14ac:dyDescent="0.3">
      <c r="A329" t="s">
        <v>815</v>
      </c>
      <c r="B329" t="s">
        <v>770</v>
      </c>
      <c r="C329" t="s">
        <v>770</v>
      </c>
      <c r="D329">
        <v>1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0</v>
      </c>
      <c r="Y329">
        <v>0</v>
      </c>
      <c r="Z329">
        <v>0</v>
      </c>
      <c r="AA329">
        <v>0</v>
      </c>
      <c r="AB329">
        <v>1</v>
      </c>
      <c r="AC329">
        <v>0</v>
      </c>
      <c r="AD329">
        <v>0</v>
      </c>
    </row>
    <row r="330" spans="1:30" x14ac:dyDescent="0.3">
      <c r="A330" t="s">
        <v>816</v>
      </c>
      <c r="B330" t="s">
        <v>1193</v>
      </c>
      <c r="C330" t="s">
        <v>771</v>
      </c>
      <c r="D330">
        <v>1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0</v>
      </c>
      <c r="T330">
        <v>0</v>
      </c>
      <c r="U330">
        <v>0</v>
      </c>
      <c r="V330">
        <v>1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1</v>
      </c>
      <c r="AC330">
        <v>0</v>
      </c>
      <c r="AD330">
        <v>0</v>
      </c>
    </row>
    <row r="331" spans="1:30" x14ac:dyDescent="0.3">
      <c r="A331" t="s">
        <v>817</v>
      </c>
      <c r="B331" t="s">
        <v>1193</v>
      </c>
      <c r="C331" t="s">
        <v>771</v>
      </c>
      <c r="D331">
        <v>1</v>
      </c>
      <c r="E331">
        <v>1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1</v>
      </c>
      <c r="S331">
        <v>0</v>
      </c>
      <c r="T331">
        <v>0</v>
      </c>
      <c r="U331">
        <v>0</v>
      </c>
      <c r="V331">
        <v>1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1</v>
      </c>
      <c r="AC331">
        <v>0</v>
      </c>
      <c r="AD331">
        <v>0</v>
      </c>
    </row>
    <row r="332" spans="1:30" x14ac:dyDescent="0.3">
      <c r="A332" t="s">
        <v>818</v>
      </c>
      <c r="B332" t="s">
        <v>1193</v>
      </c>
      <c r="C332" t="s">
        <v>771</v>
      </c>
      <c r="D332">
        <v>1</v>
      </c>
      <c r="E332">
        <v>1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1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</row>
    <row r="333" spans="1:30" x14ac:dyDescent="0.3">
      <c r="A333" t="s">
        <v>819</v>
      </c>
      <c r="B333" t="s">
        <v>1193</v>
      </c>
      <c r="C333" t="s">
        <v>58</v>
      </c>
      <c r="D333">
        <v>1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1</v>
      </c>
      <c r="S333">
        <v>0</v>
      </c>
      <c r="T333">
        <v>0</v>
      </c>
      <c r="U333">
        <v>0</v>
      </c>
      <c r="V333">
        <v>1</v>
      </c>
      <c r="W333">
        <v>1</v>
      </c>
      <c r="X333">
        <v>0</v>
      </c>
      <c r="Y333">
        <v>0</v>
      </c>
      <c r="Z333">
        <v>0</v>
      </c>
      <c r="AA333">
        <v>0</v>
      </c>
      <c r="AB333">
        <v>1</v>
      </c>
      <c r="AC333">
        <v>0</v>
      </c>
      <c r="AD333">
        <v>0</v>
      </c>
    </row>
    <row r="334" spans="1:30" x14ac:dyDescent="0.3">
      <c r="A334" t="s">
        <v>820</v>
      </c>
      <c r="B334" t="s">
        <v>770</v>
      </c>
      <c r="C334" t="s">
        <v>770</v>
      </c>
      <c r="D334">
        <v>1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1</v>
      </c>
      <c r="AC334">
        <v>0</v>
      </c>
      <c r="AD334">
        <v>0</v>
      </c>
    </row>
    <row r="335" spans="1:30" x14ac:dyDescent="0.3">
      <c r="A335" t="s">
        <v>821</v>
      </c>
      <c r="B335" t="s">
        <v>1193</v>
      </c>
      <c r="C335" t="s">
        <v>771</v>
      </c>
      <c r="D335">
        <v>1</v>
      </c>
      <c r="E335">
        <v>1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1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0</v>
      </c>
      <c r="Y335">
        <v>0</v>
      </c>
      <c r="Z335">
        <v>0</v>
      </c>
      <c r="AA335">
        <v>0</v>
      </c>
      <c r="AB335">
        <v>1</v>
      </c>
      <c r="AC335">
        <v>0</v>
      </c>
      <c r="AD335">
        <v>0</v>
      </c>
    </row>
    <row r="336" spans="1:30" x14ac:dyDescent="0.3">
      <c r="A336" t="s">
        <v>471</v>
      </c>
      <c r="B336" t="s">
        <v>1193</v>
      </c>
      <c r="C336" t="s">
        <v>771</v>
      </c>
      <c r="D336">
        <v>1</v>
      </c>
      <c r="E336">
        <v>1</v>
      </c>
      <c r="F336">
        <v>1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1</v>
      </c>
      <c r="AC336">
        <v>0</v>
      </c>
      <c r="AD336">
        <v>0</v>
      </c>
    </row>
    <row r="337" spans="1:30" x14ac:dyDescent="0.3">
      <c r="A337" t="s">
        <v>822</v>
      </c>
      <c r="B337" t="s">
        <v>1190</v>
      </c>
      <c r="C337" t="s">
        <v>770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</row>
    <row r="338" spans="1:30" x14ac:dyDescent="0.3">
      <c r="A338" t="s">
        <v>823</v>
      </c>
      <c r="B338" t="s">
        <v>1193</v>
      </c>
      <c r="C338" t="s">
        <v>771</v>
      </c>
      <c r="D338">
        <v>1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</row>
    <row r="339" spans="1:30" x14ac:dyDescent="0.3">
      <c r="A339" t="s">
        <v>742</v>
      </c>
      <c r="B339" t="s">
        <v>1193</v>
      </c>
      <c r="C339" t="s">
        <v>559</v>
      </c>
      <c r="D339">
        <v>1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1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1</v>
      </c>
      <c r="AC339">
        <v>0</v>
      </c>
      <c r="AD339">
        <v>0</v>
      </c>
    </row>
    <row r="340" spans="1:30" x14ac:dyDescent="0.3">
      <c r="A340" t="s">
        <v>824</v>
      </c>
      <c r="B340" t="s">
        <v>1193</v>
      </c>
      <c r="C340" t="s">
        <v>771</v>
      </c>
      <c r="D340">
        <v>1</v>
      </c>
      <c r="E340">
        <v>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0</v>
      </c>
      <c r="T340">
        <v>0</v>
      </c>
      <c r="U340">
        <v>0</v>
      </c>
      <c r="V340">
        <v>1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1</v>
      </c>
      <c r="AC340">
        <v>0</v>
      </c>
      <c r="AD340">
        <v>0</v>
      </c>
    </row>
    <row r="341" spans="1:30" x14ac:dyDescent="0.3">
      <c r="A341" t="s">
        <v>825</v>
      </c>
      <c r="B341" t="s">
        <v>1193</v>
      </c>
      <c r="C341" t="s">
        <v>771</v>
      </c>
      <c r="D341">
        <v>1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0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</row>
    <row r="342" spans="1:30" x14ac:dyDescent="0.3">
      <c r="A342" t="s">
        <v>596</v>
      </c>
      <c r="B342" t="s">
        <v>1193</v>
      </c>
      <c r="C342" t="s">
        <v>771</v>
      </c>
      <c r="D342">
        <v>1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0</v>
      </c>
      <c r="U342">
        <v>0</v>
      </c>
      <c r="V342">
        <v>0</v>
      </c>
      <c r="W342">
        <v>1</v>
      </c>
      <c r="X342">
        <v>0</v>
      </c>
      <c r="Y342">
        <v>0</v>
      </c>
      <c r="Z342">
        <v>0</v>
      </c>
      <c r="AA342">
        <v>0</v>
      </c>
      <c r="AB342">
        <v>1</v>
      </c>
      <c r="AC342">
        <v>0</v>
      </c>
      <c r="AD342">
        <v>0</v>
      </c>
    </row>
    <row r="343" spans="1:30" x14ac:dyDescent="0.3">
      <c r="A343" t="s">
        <v>826</v>
      </c>
      <c r="B343" t="s">
        <v>1193</v>
      </c>
      <c r="C343" t="s">
        <v>771</v>
      </c>
      <c r="D343">
        <v>1</v>
      </c>
      <c r="E343">
        <v>1</v>
      </c>
      <c r="F343">
        <v>1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1</v>
      </c>
      <c r="S343">
        <v>0</v>
      </c>
      <c r="T343">
        <v>1</v>
      </c>
      <c r="U343">
        <v>0</v>
      </c>
      <c r="V343">
        <v>1</v>
      </c>
      <c r="W343">
        <v>1</v>
      </c>
      <c r="X343">
        <v>0</v>
      </c>
      <c r="Y343">
        <v>0</v>
      </c>
      <c r="Z343">
        <v>0</v>
      </c>
      <c r="AA343">
        <v>0</v>
      </c>
      <c r="AB343">
        <v>1</v>
      </c>
      <c r="AC343">
        <v>0</v>
      </c>
      <c r="AD343">
        <v>0</v>
      </c>
    </row>
    <row r="344" spans="1:30" x14ac:dyDescent="0.3">
      <c r="A344" t="s">
        <v>827</v>
      </c>
      <c r="B344" t="s">
        <v>770</v>
      </c>
      <c r="C344" t="s">
        <v>770</v>
      </c>
      <c r="D344">
        <v>1</v>
      </c>
      <c r="E344">
        <v>1</v>
      </c>
      <c r="F344">
        <v>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1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1</v>
      </c>
      <c r="AC344">
        <v>0</v>
      </c>
      <c r="AD344">
        <v>0</v>
      </c>
    </row>
    <row r="345" spans="1:30" x14ac:dyDescent="0.3">
      <c r="A345" t="s">
        <v>828</v>
      </c>
      <c r="B345" t="s">
        <v>770</v>
      </c>
      <c r="C345" t="s">
        <v>770</v>
      </c>
      <c r="D345">
        <v>1</v>
      </c>
      <c r="E345">
        <v>1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1</v>
      </c>
      <c r="W345">
        <v>1</v>
      </c>
      <c r="X345">
        <v>1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</row>
    <row r="346" spans="1:30" x14ac:dyDescent="0.3">
      <c r="A346" t="s">
        <v>829</v>
      </c>
      <c r="B346" t="s">
        <v>1193</v>
      </c>
      <c r="C346" t="s">
        <v>771</v>
      </c>
      <c r="D346">
        <v>1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</v>
      </c>
      <c r="S346">
        <v>0</v>
      </c>
      <c r="T346">
        <v>0</v>
      </c>
      <c r="U346">
        <v>0</v>
      </c>
      <c r="V346">
        <v>0</v>
      </c>
      <c r="W346">
        <v>1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</row>
    <row r="347" spans="1:30" x14ac:dyDescent="0.3">
      <c r="A347" t="s">
        <v>830</v>
      </c>
      <c r="B347" t="s">
        <v>1193</v>
      </c>
      <c r="C347" t="s">
        <v>771</v>
      </c>
      <c r="D347">
        <v>1</v>
      </c>
      <c r="E347">
        <v>1</v>
      </c>
      <c r="F347">
        <v>1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</v>
      </c>
      <c r="S347">
        <v>0</v>
      </c>
      <c r="T347">
        <v>0</v>
      </c>
      <c r="U347">
        <v>0</v>
      </c>
      <c r="V347">
        <v>0</v>
      </c>
      <c r="W347">
        <v>1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</row>
    <row r="348" spans="1:30" x14ac:dyDescent="0.3">
      <c r="A348" t="s">
        <v>831</v>
      </c>
      <c r="B348" t="s">
        <v>770</v>
      </c>
      <c r="C348" t="s">
        <v>770</v>
      </c>
      <c r="D348">
        <v>1</v>
      </c>
      <c r="E348">
        <v>1</v>
      </c>
      <c r="F348">
        <v>1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1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</row>
    <row r="349" spans="1:30" x14ac:dyDescent="0.3">
      <c r="A349" t="s">
        <v>832</v>
      </c>
      <c r="B349" t="s">
        <v>1192</v>
      </c>
      <c r="C349" t="s">
        <v>770</v>
      </c>
      <c r="D349">
        <v>1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0</v>
      </c>
      <c r="U349">
        <v>0</v>
      </c>
      <c r="V349">
        <v>1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1</v>
      </c>
      <c r="AC349">
        <v>0</v>
      </c>
      <c r="AD349">
        <v>0</v>
      </c>
    </row>
    <row r="350" spans="1:30" x14ac:dyDescent="0.3">
      <c r="A350" t="s">
        <v>752</v>
      </c>
      <c r="B350" t="s">
        <v>1192</v>
      </c>
      <c r="C350" t="s">
        <v>770</v>
      </c>
      <c r="D350">
        <v>1</v>
      </c>
      <c r="E350">
        <v>1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1</v>
      </c>
      <c r="S350">
        <v>0</v>
      </c>
      <c r="T350">
        <v>1</v>
      </c>
      <c r="U350">
        <v>0</v>
      </c>
      <c r="V350">
        <v>1</v>
      </c>
      <c r="W350">
        <v>1</v>
      </c>
      <c r="X350">
        <v>1</v>
      </c>
      <c r="Y350">
        <v>0</v>
      </c>
      <c r="Z350">
        <v>0</v>
      </c>
      <c r="AA350">
        <v>0</v>
      </c>
      <c r="AB350">
        <v>1</v>
      </c>
      <c r="AC350">
        <v>0</v>
      </c>
      <c r="AD350">
        <v>0</v>
      </c>
    </row>
    <row r="351" spans="1:30" x14ac:dyDescent="0.3">
      <c r="A351" t="s">
        <v>833</v>
      </c>
      <c r="B351" t="s">
        <v>1190</v>
      </c>
      <c r="C351" t="s">
        <v>557</v>
      </c>
      <c r="D351">
        <v>1</v>
      </c>
      <c r="E351">
        <v>1</v>
      </c>
      <c r="F351">
        <v>1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1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1</v>
      </c>
      <c r="AC351">
        <v>0</v>
      </c>
      <c r="AD351">
        <v>0</v>
      </c>
    </row>
    <row r="352" spans="1:30" x14ac:dyDescent="0.3">
      <c r="A352" t="s">
        <v>834</v>
      </c>
      <c r="B352" t="s">
        <v>770</v>
      </c>
      <c r="C352" t="s">
        <v>770</v>
      </c>
      <c r="D352">
        <v>1</v>
      </c>
      <c r="E352">
        <v>1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1</v>
      </c>
      <c r="W352">
        <v>1</v>
      </c>
      <c r="X352">
        <v>0</v>
      </c>
      <c r="Y352">
        <v>0</v>
      </c>
      <c r="Z352">
        <v>0</v>
      </c>
      <c r="AA352">
        <v>0</v>
      </c>
      <c r="AB352">
        <v>1</v>
      </c>
      <c r="AC352">
        <v>0</v>
      </c>
      <c r="AD352">
        <v>0</v>
      </c>
    </row>
    <row r="353" spans="1:30" x14ac:dyDescent="0.3">
      <c r="A353" t="s">
        <v>611</v>
      </c>
      <c r="B353" t="s">
        <v>1192</v>
      </c>
      <c r="C353" t="s">
        <v>557</v>
      </c>
      <c r="D353">
        <v>1</v>
      </c>
      <c r="E353">
        <v>1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1</v>
      </c>
      <c r="AC353">
        <v>0</v>
      </c>
      <c r="AD353">
        <v>0</v>
      </c>
    </row>
    <row r="354" spans="1:30" x14ac:dyDescent="0.3">
      <c r="A354" t="s">
        <v>835</v>
      </c>
      <c r="B354" t="s">
        <v>770</v>
      </c>
      <c r="C354" t="s">
        <v>770</v>
      </c>
      <c r="D354">
        <v>1</v>
      </c>
      <c r="E354">
        <v>1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1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1</v>
      </c>
      <c r="AC354">
        <v>0</v>
      </c>
      <c r="AD354">
        <v>0</v>
      </c>
    </row>
    <row r="355" spans="1:30" x14ac:dyDescent="0.3">
      <c r="A355" t="s">
        <v>836</v>
      </c>
      <c r="B355" t="s">
        <v>770</v>
      </c>
      <c r="C355" t="s">
        <v>770</v>
      </c>
      <c r="D355">
        <v>1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1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</row>
    <row r="356" spans="1:30" x14ac:dyDescent="0.3">
      <c r="A356" t="s">
        <v>610</v>
      </c>
      <c r="B356" t="s">
        <v>1193</v>
      </c>
      <c r="C356" t="s">
        <v>557</v>
      </c>
      <c r="D356">
        <v>1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1</v>
      </c>
      <c r="X356">
        <v>0</v>
      </c>
      <c r="Y356">
        <v>0</v>
      </c>
      <c r="Z356">
        <v>0</v>
      </c>
      <c r="AA356">
        <v>0</v>
      </c>
      <c r="AB356">
        <v>1</v>
      </c>
      <c r="AC356">
        <v>0</v>
      </c>
      <c r="AD356">
        <v>0</v>
      </c>
    </row>
    <row r="357" spans="1:30" x14ac:dyDescent="0.3">
      <c r="A357" t="s">
        <v>607</v>
      </c>
      <c r="B357" t="s">
        <v>1193</v>
      </c>
      <c r="C357" t="s">
        <v>557</v>
      </c>
      <c r="D357">
        <v>1</v>
      </c>
      <c r="E357">
        <v>1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1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1</v>
      </c>
      <c r="AC357">
        <v>0</v>
      </c>
      <c r="AD357">
        <v>0</v>
      </c>
    </row>
    <row r="358" spans="1:30" x14ac:dyDescent="0.3">
      <c r="A358" t="s">
        <v>837</v>
      </c>
      <c r="B358" t="s">
        <v>1193</v>
      </c>
      <c r="C358" t="s">
        <v>557</v>
      </c>
      <c r="D358">
        <v>1</v>
      </c>
      <c r="E358">
        <v>1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1</v>
      </c>
      <c r="X358">
        <v>0</v>
      </c>
      <c r="Y358">
        <v>0</v>
      </c>
      <c r="Z358">
        <v>0</v>
      </c>
      <c r="AA358">
        <v>0</v>
      </c>
      <c r="AB358">
        <v>1</v>
      </c>
      <c r="AC358">
        <v>0</v>
      </c>
      <c r="AD358">
        <v>0</v>
      </c>
    </row>
    <row r="359" spans="1:30" x14ac:dyDescent="0.3">
      <c r="A359" t="s">
        <v>608</v>
      </c>
      <c r="B359" t="s">
        <v>1193</v>
      </c>
      <c r="C359" t="s">
        <v>557</v>
      </c>
      <c r="D359">
        <v>1</v>
      </c>
      <c r="E359">
        <v>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1</v>
      </c>
      <c r="X359">
        <v>0</v>
      </c>
      <c r="Y359">
        <v>0</v>
      </c>
      <c r="Z359">
        <v>0</v>
      </c>
      <c r="AA359">
        <v>0</v>
      </c>
      <c r="AB359">
        <v>1</v>
      </c>
      <c r="AC359">
        <v>0</v>
      </c>
      <c r="AD359">
        <v>0</v>
      </c>
    </row>
    <row r="360" spans="1:30" x14ac:dyDescent="0.3">
      <c r="A360" t="s">
        <v>612</v>
      </c>
      <c r="B360" t="s">
        <v>1193</v>
      </c>
      <c r="C360" t="s">
        <v>557</v>
      </c>
      <c r="D360">
        <v>1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0</v>
      </c>
      <c r="AA360">
        <v>0</v>
      </c>
      <c r="AB360">
        <v>1</v>
      </c>
      <c r="AC360">
        <v>0</v>
      </c>
      <c r="AD360">
        <v>0</v>
      </c>
    </row>
    <row r="361" spans="1:30" x14ac:dyDescent="0.3">
      <c r="A361" t="s">
        <v>692</v>
      </c>
      <c r="B361" t="s">
        <v>1193</v>
      </c>
      <c r="C361" t="s">
        <v>557</v>
      </c>
      <c r="D361">
        <v>1</v>
      </c>
      <c r="E361">
        <v>1</v>
      </c>
      <c r="F361">
        <v>1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</row>
    <row r="362" spans="1:30" x14ac:dyDescent="0.3">
      <c r="A362" t="s">
        <v>838</v>
      </c>
      <c r="B362" t="s">
        <v>1193</v>
      </c>
      <c r="C362" t="s">
        <v>557</v>
      </c>
      <c r="D362">
        <v>1</v>
      </c>
      <c r="E362">
        <v>1</v>
      </c>
      <c r="F362">
        <v>1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</v>
      </c>
      <c r="W362">
        <v>1</v>
      </c>
      <c r="X362">
        <v>1</v>
      </c>
      <c r="Y362">
        <v>0</v>
      </c>
      <c r="Z362">
        <v>0</v>
      </c>
      <c r="AA362">
        <v>0</v>
      </c>
      <c r="AB362">
        <v>0</v>
      </c>
      <c r="AC362">
        <v>1</v>
      </c>
      <c r="AD362">
        <v>0</v>
      </c>
    </row>
    <row r="363" spans="1:30" x14ac:dyDescent="0.3">
      <c r="A363" t="s">
        <v>839</v>
      </c>
      <c r="B363" t="s">
        <v>770</v>
      </c>
      <c r="C363" t="s">
        <v>770</v>
      </c>
      <c r="D363">
        <v>1</v>
      </c>
      <c r="E363">
        <v>1</v>
      </c>
      <c r="F363">
        <v>1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</v>
      </c>
      <c r="W363">
        <v>1</v>
      </c>
      <c r="X363">
        <v>1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</row>
    <row r="364" spans="1:30" x14ac:dyDescent="0.3">
      <c r="A364" t="s">
        <v>840</v>
      </c>
      <c r="B364" t="s">
        <v>1190</v>
      </c>
      <c r="C364" t="s">
        <v>58</v>
      </c>
      <c r="D364">
        <v>1</v>
      </c>
      <c r="E364">
        <v>0</v>
      </c>
      <c r="F364">
        <v>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1</v>
      </c>
      <c r="X364">
        <v>1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</row>
    <row r="365" spans="1:30" x14ac:dyDescent="0.3">
      <c r="A365" t="s">
        <v>552</v>
      </c>
      <c r="B365" t="s">
        <v>1190</v>
      </c>
      <c r="C365" t="s">
        <v>770</v>
      </c>
      <c r="D365">
        <v>1</v>
      </c>
      <c r="E365">
        <v>1</v>
      </c>
      <c r="F365">
        <v>1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0</v>
      </c>
      <c r="V365">
        <v>1</v>
      </c>
      <c r="W365">
        <v>1</v>
      </c>
      <c r="X365">
        <v>1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</row>
    <row r="366" spans="1:30" x14ac:dyDescent="0.3">
      <c r="A366" t="s">
        <v>841</v>
      </c>
      <c r="B366" t="s">
        <v>1190</v>
      </c>
      <c r="C366" t="s">
        <v>773</v>
      </c>
      <c r="D366">
        <v>1</v>
      </c>
      <c r="E366">
        <v>1</v>
      </c>
      <c r="F366">
        <v>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1</v>
      </c>
      <c r="X366">
        <v>1</v>
      </c>
      <c r="Y366">
        <v>0</v>
      </c>
      <c r="Z366">
        <v>0</v>
      </c>
      <c r="AA366">
        <v>0</v>
      </c>
      <c r="AB366">
        <v>1</v>
      </c>
      <c r="AC366">
        <v>0</v>
      </c>
      <c r="AD366">
        <v>0</v>
      </c>
    </row>
    <row r="367" spans="1:30" x14ac:dyDescent="0.3">
      <c r="A367" t="s">
        <v>842</v>
      </c>
      <c r="B367" t="s">
        <v>770</v>
      </c>
      <c r="C367" t="s">
        <v>770</v>
      </c>
      <c r="D367">
        <v>1</v>
      </c>
      <c r="E367">
        <v>1</v>
      </c>
      <c r="F367">
        <v>1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1</v>
      </c>
      <c r="X367">
        <v>1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</row>
    <row r="368" spans="1:30" x14ac:dyDescent="0.3">
      <c r="A368" t="s">
        <v>843</v>
      </c>
      <c r="B368" t="s">
        <v>770</v>
      </c>
      <c r="C368" t="s">
        <v>770</v>
      </c>
      <c r="D368">
        <v>1</v>
      </c>
      <c r="E368">
        <v>1</v>
      </c>
      <c r="F368">
        <v>1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0</v>
      </c>
      <c r="V368">
        <v>1</v>
      </c>
      <c r="W368">
        <v>1</v>
      </c>
      <c r="X368">
        <v>1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0</v>
      </c>
    </row>
    <row r="369" spans="1:30" x14ac:dyDescent="0.3">
      <c r="A369" t="s">
        <v>844</v>
      </c>
      <c r="B369" t="s">
        <v>770</v>
      </c>
      <c r="C369" t="s">
        <v>770</v>
      </c>
      <c r="D369">
        <v>1</v>
      </c>
      <c r="E369">
        <v>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1</v>
      </c>
      <c r="W369">
        <v>1</v>
      </c>
      <c r="X369">
        <v>1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</row>
    <row r="370" spans="1:30" x14ac:dyDescent="0.3">
      <c r="A370" t="s">
        <v>845</v>
      </c>
      <c r="B370" t="s">
        <v>1192</v>
      </c>
      <c r="C370" t="s">
        <v>773</v>
      </c>
      <c r="D370">
        <v>1</v>
      </c>
      <c r="E370">
        <v>1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1</v>
      </c>
      <c r="X370">
        <v>1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0</v>
      </c>
    </row>
    <row r="371" spans="1:30" x14ac:dyDescent="0.3">
      <c r="A371" t="s">
        <v>846</v>
      </c>
      <c r="B371" t="s">
        <v>1193</v>
      </c>
      <c r="C371" t="s">
        <v>771</v>
      </c>
      <c r="D371">
        <v>1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</v>
      </c>
      <c r="W371">
        <v>1</v>
      </c>
      <c r="X371">
        <v>1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0</v>
      </c>
    </row>
    <row r="372" spans="1:30" x14ac:dyDescent="0.3">
      <c r="A372" t="s">
        <v>476</v>
      </c>
      <c r="B372" t="s">
        <v>1192</v>
      </c>
      <c r="C372" t="s">
        <v>807</v>
      </c>
      <c r="D372">
        <v>1</v>
      </c>
      <c r="E372">
        <v>1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0</v>
      </c>
      <c r="AB372">
        <v>0</v>
      </c>
      <c r="AC372">
        <v>1</v>
      </c>
      <c r="AD372">
        <v>0</v>
      </c>
    </row>
    <row r="373" spans="1:30" x14ac:dyDescent="0.3">
      <c r="A373" t="s">
        <v>847</v>
      </c>
      <c r="B373" t="s">
        <v>770</v>
      </c>
      <c r="C373" t="s">
        <v>770</v>
      </c>
      <c r="D373">
        <v>1</v>
      </c>
      <c r="E373">
        <v>1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1</v>
      </c>
      <c r="X373">
        <v>1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</row>
    <row r="374" spans="1:30" x14ac:dyDescent="0.3">
      <c r="A374" t="s">
        <v>848</v>
      </c>
      <c r="B374" t="s">
        <v>1190</v>
      </c>
      <c r="C374" t="s">
        <v>770</v>
      </c>
      <c r="D374">
        <v>1</v>
      </c>
      <c r="E374">
        <v>1</v>
      </c>
      <c r="F374">
        <v>1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1</v>
      </c>
      <c r="X374">
        <v>1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</row>
    <row r="375" spans="1:30" x14ac:dyDescent="0.3">
      <c r="A375" t="s">
        <v>849</v>
      </c>
      <c r="B375" t="s">
        <v>770</v>
      </c>
      <c r="C375" t="s">
        <v>770</v>
      </c>
      <c r="D375">
        <v>1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0</v>
      </c>
      <c r="AC375">
        <v>0</v>
      </c>
      <c r="AD375">
        <v>0</v>
      </c>
    </row>
    <row r="376" spans="1:30" x14ac:dyDescent="0.3">
      <c r="A376" t="s">
        <v>850</v>
      </c>
      <c r="B376" t="s">
        <v>770</v>
      </c>
      <c r="C376" t="s">
        <v>770</v>
      </c>
      <c r="D376">
        <v>1</v>
      </c>
      <c r="E376">
        <v>1</v>
      </c>
      <c r="F376">
        <v>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</row>
    <row r="377" spans="1:30" x14ac:dyDescent="0.3">
      <c r="A377" t="s">
        <v>851</v>
      </c>
      <c r="B377" t="s">
        <v>770</v>
      </c>
      <c r="C377" t="s">
        <v>770</v>
      </c>
      <c r="D377">
        <v>1</v>
      </c>
      <c r="E377">
        <v>1</v>
      </c>
      <c r="F377">
        <v>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1</v>
      </c>
      <c r="X377">
        <v>1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</row>
    <row r="378" spans="1:30" x14ac:dyDescent="0.3">
      <c r="A378" t="s">
        <v>852</v>
      </c>
      <c r="B378" t="s">
        <v>1193</v>
      </c>
      <c r="C378" t="s">
        <v>58</v>
      </c>
      <c r="D378">
        <v>1</v>
      </c>
      <c r="E378">
        <v>1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1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0</v>
      </c>
    </row>
    <row r="379" spans="1:30" x14ac:dyDescent="0.3">
      <c r="A379" t="s">
        <v>853</v>
      </c>
      <c r="B379" t="s">
        <v>1190</v>
      </c>
      <c r="C379" t="s">
        <v>771</v>
      </c>
      <c r="D379">
        <v>1</v>
      </c>
      <c r="E379">
        <v>1</v>
      </c>
      <c r="F379">
        <v>1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1</v>
      </c>
      <c r="X379">
        <v>1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</row>
    <row r="380" spans="1:30" x14ac:dyDescent="0.3">
      <c r="A380" t="s">
        <v>854</v>
      </c>
      <c r="B380" t="s">
        <v>1192</v>
      </c>
      <c r="C380" t="s">
        <v>807</v>
      </c>
      <c r="D380">
        <v>1</v>
      </c>
      <c r="E380">
        <v>1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1</v>
      </c>
      <c r="W380">
        <v>1</v>
      </c>
      <c r="X380">
        <v>1</v>
      </c>
      <c r="Y380">
        <v>0</v>
      </c>
      <c r="Z380">
        <v>0</v>
      </c>
      <c r="AA380">
        <v>0</v>
      </c>
      <c r="AB380">
        <v>0</v>
      </c>
      <c r="AC380">
        <v>1</v>
      </c>
      <c r="AD380">
        <v>0</v>
      </c>
    </row>
    <row r="381" spans="1:30" x14ac:dyDescent="0.3">
      <c r="A381" t="s">
        <v>855</v>
      </c>
      <c r="B381" t="s">
        <v>1193</v>
      </c>
      <c r="C381" t="s">
        <v>58</v>
      </c>
      <c r="D381">
        <v>1</v>
      </c>
      <c r="E381">
        <v>1</v>
      </c>
      <c r="F381">
        <v>1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1</v>
      </c>
      <c r="X381">
        <v>1</v>
      </c>
      <c r="Y381">
        <v>0</v>
      </c>
      <c r="Z381">
        <v>0</v>
      </c>
      <c r="AA381">
        <v>0</v>
      </c>
      <c r="AB381">
        <v>0</v>
      </c>
      <c r="AC381">
        <v>1</v>
      </c>
      <c r="AD381">
        <v>0</v>
      </c>
    </row>
    <row r="382" spans="1:30" x14ac:dyDescent="0.3">
      <c r="A382" t="s">
        <v>856</v>
      </c>
      <c r="B382" t="s">
        <v>1193</v>
      </c>
      <c r="C382" t="s">
        <v>58</v>
      </c>
      <c r="D382">
        <v>1</v>
      </c>
      <c r="E382">
        <v>1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V382">
        <v>1</v>
      </c>
      <c r="W382">
        <v>1</v>
      </c>
      <c r="X382">
        <v>1</v>
      </c>
      <c r="Y382">
        <v>0</v>
      </c>
      <c r="Z382">
        <v>0</v>
      </c>
      <c r="AA382">
        <v>0</v>
      </c>
      <c r="AB382">
        <v>0</v>
      </c>
      <c r="AC382">
        <v>1</v>
      </c>
      <c r="AD382">
        <v>0</v>
      </c>
    </row>
    <row r="383" spans="1:30" x14ac:dyDescent="0.3">
      <c r="A383" t="s">
        <v>857</v>
      </c>
      <c r="B383" t="s">
        <v>1192</v>
      </c>
      <c r="C383" t="s">
        <v>807</v>
      </c>
      <c r="D383">
        <v>1</v>
      </c>
      <c r="E383">
        <v>1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1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0</v>
      </c>
      <c r="Z383">
        <v>0</v>
      </c>
      <c r="AA383">
        <v>0</v>
      </c>
      <c r="AB383">
        <v>0</v>
      </c>
      <c r="AC383">
        <v>1</v>
      </c>
      <c r="AD383">
        <v>0</v>
      </c>
    </row>
    <row r="384" spans="1:30" x14ac:dyDescent="0.3">
      <c r="A384" t="s">
        <v>858</v>
      </c>
      <c r="B384" t="s">
        <v>1193</v>
      </c>
      <c r="C384" t="s">
        <v>58</v>
      </c>
      <c r="D384">
        <v>1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1</v>
      </c>
      <c r="X384">
        <v>1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0</v>
      </c>
    </row>
    <row r="385" spans="1:30" x14ac:dyDescent="0.3">
      <c r="A385" t="s">
        <v>556</v>
      </c>
      <c r="B385" t="s">
        <v>1193</v>
      </c>
      <c r="C385" t="s">
        <v>557</v>
      </c>
      <c r="D385">
        <v>1</v>
      </c>
      <c r="E385">
        <v>1</v>
      </c>
      <c r="F385">
        <v>1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1</v>
      </c>
      <c r="X385">
        <v>1</v>
      </c>
      <c r="Y385">
        <v>0</v>
      </c>
      <c r="Z385">
        <v>0</v>
      </c>
      <c r="AA385">
        <v>0</v>
      </c>
      <c r="AB385">
        <v>1</v>
      </c>
      <c r="AC385">
        <v>0</v>
      </c>
      <c r="AD385">
        <v>0</v>
      </c>
    </row>
    <row r="386" spans="1:30" x14ac:dyDescent="0.3">
      <c r="A386" t="s">
        <v>859</v>
      </c>
      <c r="B386" t="s">
        <v>1193</v>
      </c>
      <c r="C386" t="s">
        <v>807</v>
      </c>
      <c r="D386">
        <v>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1</v>
      </c>
      <c r="W386">
        <v>1</v>
      </c>
      <c r="X386">
        <v>1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0</v>
      </c>
    </row>
    <row r="387" spans="1:30" x14ac:dyDescent="0.3">
      <c r="A387" t="s">
        <v>860</v>
      </c>
      <c r="B387" t="s">
        <v>1193</v>
      </c>
      <c r="C387" t="s">
        <v>807</v>
      </c>
      <c r="D387">
        <v>1</v>
      </c>
      <c r="E387">
        <v>1</v>
      </c>
      <c r="F387">
        <v>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0</v>
      </c>
      <c r="U387">
        <v>0</v>
      </c>
      <c r="V387">
        <v>1</v>
      </c>
      <c r="W387">
        <v>1</v>
      </c>
      <c r="X387">
        <v>1</v>
      </c>
      <c r="Y387">
        <v>0</v>
      </c>
      <c r="Z387">
        <v>0</v>
      </c>
      <c r="AA387">
        <v>0</v>
      </c>
      <c r="AB387">
        <v>0</v>
      </c>
      <c r="AC387">
        <v>1</v>
      </c>
      <c r="AD387">
        <v>0</v>
      </c>
    </row>
    <row r="388" spans="1:30" x14ac:dyDescent="0.3">
      <c r="A388" t="s">
        <v>861</v>
      </c>
      <c r="B388" t="s">
        <v>1193</v>
      </c>
      <c r="C388" t="s">
        <v>58</v>
      </c>
      <c r="D388">
        <v>1</v>
      </c>
      <c r="E388">
        <v>1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1</v>
      </c>
      <c r="X388">
        <v>1</v>
      </c>
      <c r="Y388">
        <v>0</v>
      </c>
      <c r="Z388">
        <v>0</v>
      </c>
      <c r="AA388">
        <v>0</v>
      </c>
      <c r="AB388">
        <v>0</v>
      </c>
      <c r="AC388">
        <v>1</v>
      </c>
      <c r="AD388">
        <v>0</v>
      </c>
    </row>
    <row r="389" spans="1:30" x14ac:dyDescent="0.3">
      <c r="A389" t="s">
        <v>517</v>
      </c>
      <c r="B389" t="s">
        <v>1193</v>
      </c>
      <c r="C389" t="s">
        <v>773</v>
      </c>
      <c r="D389">
        <v>1</v>
      </c>
      <c r="E389">
        <v>1</v>
      </c>
      <c r="F389">
        <v>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</row>
    <row r="390" spans="1:30" x14ac:dyDescent="0.3">
      <c r="A390" t="s">
        <v>862</v>
      </c>
      <c r="B390" t="s">
        <v>1193</v>
      </c>
      <c r="C390" t="s">
        <v>773</v>
      </c>
      <c r="D390">
        <v>1</v>
      </c>
      <c r="E390">
        <v>1</v>
      </c>
      <c r="F390">
        <v>1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1</v>
      </c>
      <c r="W390">
        <v>1</v>
      </c>
      <c r="X390">
        <v>1</v>
      </c>
      <c r="Y390">
        <v>0</v>
      </c>
      <c r="Z390">
        <v>0</v>
      </c>
      <c r="AA390">
        <v>0</v>
      </c>
      <c r="AB390">
        <v>1</v>
      </c>
      <c r="AC390">
        <v>0</v>
      </c>
      <c r="AD390">
        <v>0</v>
      </c>
    </row>
    <row r="391" spans="1:30" x14ac:dyDescent="0.3">
      <c r="A391" t="s">
        <v>863</v>
      </c>
      <c r="B391" t="s">
        <v>770</v>
      </c>
      <c r="C391" t="s">
        <v>770</v>
      </c>
      <c r="D391">
        <v>1</v>
      </c>
      <c r="E391">
        <v>1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1</v>
      </c>
      <c r="W391">
        <v>1</v>
      </c>
      <c r="X391">
        <v>1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</row>
    <row r="392" spans="1:30" x14ac:dyDescent="0.3">
      <c r="A392" t="s">
        <v>535</v>
      </c>
      <c r="B392" t="s">
        <v>1193</v>
      </c>
      <c r="C392" t="s">
        <v>807</v>
      </c>
      <c r="D392">
        <v>1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1</v>
      </c>
      <c r="S392">
        <v>0</v>
      </c>
      <c r="T392">
        <v>0</v>
      </c>
      <c r="U392">
        <v>0</v>
      </c>
      <c r="V392">
        <v>1</v>
      </c>
      <c r="W392">
        <v>1</v>
      </c>
      <c r="X392">
        <v>1</v>
      </c>
      <c r="Y392">
        <v>0</v>
      </c>
      <c r="Z392">
        <v>0</v>
      </c>
      <c r="AA392">
        <v>0</v>
      </c>
      <c r="AB392">
        <v>1</v>
      </c>
      <c r="AC392">
        <v>0</v>
      </c>
      <c r="AD392">
        <v>0</v>
      </c>
    </row>
    <row r="393" spans="1:30" x14ac:dyDescent="0.3">
      <c r="A393" t="s">
        <v>864</v>
      </c>
      <c r="B393" t="s">
        <v>1193</v>
      </c>
      <c r="C393" t="s">
        <v>58</v>
      </c>
      <c r="D393">
        <v>1</v>
      </c>
      <c r="E393">
        <v>1</v>
      </c>
      <c r="F393">
        <v>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1</v>
      </c>
      <c r="X393">
        <v>1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0</v>
      </c>
    </row>
    <row r="394" spans="1:30" x14ac:dyDescent="0.3">
      <c r="A394" t="s">
        <v>865</v>
      </c>
      <c r="B394" t="s">
        <v>1192</v>
      </c>
      <c r="C394" t="s">
        <v>551</v>
      </c>
      <c r="D394">
        <v>1</v>
      </c>
      <c r="E394">
        <v>0</v>
      </c>
      <c r="F394">
        <v>1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1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1</v>
      </c>
      <c r="AC394">
        <v>1</v>
      </c>
      <c r="AD394">
        <v>0</v>
      </c>
    </row>
    <row r="395" spans="1:30" x14ac:dyDescent="0.3">
      <c r="A395" t="s">
        <v>866</v>
      </c>
      <c r="B395" t="s">
        <v>1193</v>
      </c>
      <c r="C395" t="s">
        <v>551</v>
      </c>
      <c r="D395">
        <v>1</v>
      </c>
      <c r="E395">
        <v>1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1</v>
      </c>
      <c r="X395">
        <v>1</v>
      </c>
      <c r="Y395">
        <v>0</v>
      </c>
      <c r="Z395">
        <v>0</v>
      </c>
      <c r="AA395">
        <v>0</v>
      </c>
      <c r="AB395">
        <v>1</v>
      </c>
      <c r="AC395">
        <v>1</v>
      </c>
      <c r="AD395">
        <v>0</v>
      </c>
    </row>
    <row r="396" spans="1:30" x14ac:dyDescent="0.3">
      <c r="A396" t="s">
        <v>751</v>
      </c>
      <c r="B396" t="s">
        <v>1192</v>
      </c>
      <c r="C396" t="s">
        <v>770</v>
      </c>
      <c r="D396">
        <v>1</v>
      </c>
      <c r="E396">
        <v>0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  <c r="W396">
        <v>1</v>
      </c>
      <c r="X396">
        <v>1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</row>
    <row r="397" spans="1:30" x14ac:dyDescent="0.3">
      <c r="A397" t="s">
        <v>507</v>
      </c>
      <c r="B397" t="s">
        <v>1194</v>
      </c>
      <c r="C397" t="s">
        <v>773</v>
      </c>
      <c r="D397">
        <v>1</v>
      </c>
      <c r="E397">
        <v>1</v>
      </c>
      <c r="F397">
        <v>1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  <c r="W397">
        <v>1</v>
      </c>
      <c r="X397">
        <v>1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0" x14ac:dyDescent="0.3">
      <c r="A398" t="s">
        <v>867</v>
      </c>
      <c r="B398" t="s">
        <v>1193</v>
      </c>
      <c r="C398" t="s">
        <v>58</v>
      </c>
      <c r="D398">
        <v>1</v>
      </c>
      <c r="E398">
        <v>0</v>
      </c>
      <c r="F398">
        <v>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</v>
      </c>
      <c r="W398">
        <v>1</v>
      </c>
      <c r="X398">
        <v>1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30" x14ac:dyDescent="0.3">
      <c r="A399" t="s">
        <v>868</v>
      </c>
      <c r="B399" t="s">
        <v>1193</v>
      </c>
      <c r="C399" t="s">
        <v>770</v>
      </c>
      <c r="D399">
        <v>1</v>
      </c>
      <c r="E399">
        <v>1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1</v>
      </c>
      <c r="W399">
        <v>1</v>
      </c>
      <c r="X399">
        <v>1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</row>
    <row r="400" spans="1:30" x14ac:dyDescent="0.3">
      <c r="A400" t="s">
        <v>869</v>
      </c>
      <c r="B400" t="s">
        <v>770</v>
      </c>
      <c r="C400" t="s">
        <v>770</v>
      </c>
      <c r="D400">
        <v>1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1</v>
      </c>
      <c r="W400">
        <v>1</v>
      </c>
      <c r="X400">
        <v>1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</row>
    <row r="401" spans="1:30" x14ac:dyDescent="0.3">
      <c r="A401" t="s">
        <v>870</v>
      </c>
      <c r="B401" t="s">
        <v>770</v>
      </c>
      <c r="C401" t="s">
        <v>770</v>
      </c>
      <c r="D401">
        <v>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</row>
    <row r="402" spans="1:30" x14ac:dyDescent="0.3">
      <c r="A402" t="s">
        <v>871</v>
      </c>
      <c r="B402" t="s">
        <v>770</v>
      </c>
      <c r="C402" t="s">
        <v>770</v>
      </c>
      <c r="D402">
        <v>1</v>
      </c>
      <c r="E402">
        <v>1</v>
      </c>
      <c r="F402">
        <v>1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</row>
    <row r="403" spans="1:30" x14ac:dyDescent="0.3">
      <c r="A403" t="s">
        <v>872</v>
      </c>
      <c r="B403" t="s">
        <v>770</v>
      </c>
      <c r="C403" t="s">
        <v>770</v>
      </c>
      <c r="D403">
        <v>1</v>
      </c>
      <c r="E403">
        <v>1</v>
      </c>
      <c r="F403">
        <v>1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1</v>
      </c>
      <c r="W403">
        <v>1</v>
      </c>
      <c r="X403">
        <v>1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</row>
    <row r="404" spans="1:30" x14ac:dyDescent="0.3">
      <c r="A404" t="s">
        <v>873</v>
      </c>
      <c r="B404" t="s">
        <v>1195</v>
      </c>
      <c r="C404" t="s">
        <v>770</v>
      </c>
      <c r="D404">
        <v>1</v>
      </c>
      <c r="E404">
        <v>1</v>
      </c>
      <c r="F404">
        <v>1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  <c r="V404">
        <v>1</v>
      </c>
      <c r="W404">
        <v>1</v>
      </c>
      <c r="X404">
        <v>1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</row>
    <row r="405" spans="1:30" x14ac:dyDescent="0.3">
      <c r="A405" t="s">
        <v>874</v>
      </c>
      <c r="B405" t="s">
        <v>1190</v>
      </c>
      <c r="C405" t="s">
        <v>770</v>
      </c>
      <c r="D405">
        <v>1</v>
      </c>
      <c r="E405">
        <v>1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1</v>
      </c>
      <c r="X405">
        <v>1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</row>
    <row r="406" spans="1:30" x14ac:dyDescent="0.3">
      <c r="A406" t="s">
        <v>875</v>
      </c>
      <c r="B406" t="s">
        <v>1191</v>
      </c>
      <c r="C406" t="s">
        <v>770</v>
      </c>
      <c r="D406">
        <v>1</v>
      </c>
      <c r="E406">
        <v>1</v>
      </c>
      <c r="F406">
        <v>1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1</v>
      </c>
      <c r="X406">
        <v>1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</row>
    <row r="407" spans="1:30" x14ac:dyDescent="0.3">
      <c r="A407" t="s">
        <v>494</v>
      </c>
      <c r="B407" t="s">
        <v>1190</v>
      </c>
      <c r="C407" t="s">
        <v>807</v>
      </c>
      <c r="D407">
        <v>1</v>
      </c>
      <c r="E407">
        <v>0</v>
      </c>
      <c r="F407">
        <v>1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1</v>
      </c>
      <c r="S407">
        <v>1</v>
      </c>
      <c r="T407">
        <v>1</v>
      </c>
      <c r="U407">
        <v>0</v>
      </c>
      <c r="V407">
        <v>1</v>
      </c>
      <c r="W407">
        <v>1</v>
      </c>
      <c r="X407">
        <v>1</v>
      </c>
      <c r="Y407">
        <v>0</v>
      </c>
      <c r="Z407">
        <v>0</v>
      </c>
      <c r="AA407">
        <v>0</v>
      </c>
      <c r="AB407">
        <v>1</v>
      </c>
      <c r="AC407">
        <v>1</v>
      </c>
      <c r="AD407">
        <v>0</v>
      </c>
    </row>
    <row r="408" spans="1:30" x14ac:dyDescent="0.3">
      <c r="A408" t="s">
        <v>876</v>
      </c>
      <c r="B408" t="s">
        <v>770</v>
      </c>
      <c r="C408" t="s">
        <v>770</v>
      </c>
      <c r="D408">
        <v>1</v>
      </c>
      <c r="E408">
        <v>1</v>
      </c>
      <c r="F408">
        <v>1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1</v>
      </c>
      <c r="S408">
        <v>1</v>
      </c>
      <c r="T408">
        <v>1</v>
      </c>
      <c r="U408">
        <v>0</v>
      </c>
      <c r="V408">
        <v>1</v>
      </c>
      <c r="W408">
        <v>1</v>
      </c>
      <c r="X408">
        <v>1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</row>
    <row r="409" spans="1:30" x14ac:dyDescent="0.3">
      <c r="A409" t="s">
        <v>877</v>
      </c>
      <c r="B409" t="s">
        <v>1190</v>
      </c>
      <c r="C409" t="s">
        <v>770</v>
      </c>
      <c r="D409">
        <v>1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1</v>
      </c>
      <c r="AD409">
        <v>0</v>
      </c>
    </row>
    <row r="410" spans="1:30" x14ac:dyDescent="0.3">
      <c r="A410" t="s">
        <v>878</v>
      </c>
      <c r="B410" t="s">
        <v>1190</v>
      </c>
      <c r="C410" t="s">
        <v>770</v>
      </c>
      <c r="D410">
        <v>1</v>
      </c>
      <c r="E410">
        <v>0</v>
      </c>
      <c r="F410">
        <v>1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0</v>
      </c>
      <c r="T410">
        <v>1</v>
      </c>
      <c r="U410">
        <v>0</v>
      </c>
      <c r="V410">
        <v>0</v>
      </c>
      <c r="W410">
        <v>1</v>
      </c>
      <c r="X410">
        <v>1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0</v>
      </c>
    </row>
    <row r="411" spans="1:30" x14ac:dyDescent="0.3">
      <c r="A411" t="s">
        <v>530</v>
      </c>
      <c r="B411" t="s">
        <v>1192</v>
      </c>
      <c r="C411" t="s">
        <v>807</v>
      </c>
      <c r="D411">
        <v>1</v>
      </c>
      <c r="E411">
        <v>0</v>
      </c>
      <c r="F411">
        <v>1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1</v>
      </c>
      <c r="S411">
        <v>0</v>
      </c>
      <c r="T411">
        <v>1</v>
      </c>
      <c r="U411">
        <v>0</v>
      </c>
      <c r="V411">
        <v>1</v>
      </c>
      <c r="W411">
        <v>1</v>
      </c>
      <c r="X411">
        <v>1</v>
      </c>
      <c r="Y411">
        <v>0</v>
      </c>
      <c r="Z411">
        <v>0</v>
      </c>
      <c r="AA411">
        <v>0</v>
      </c>
      <c r="AB411">
        <v>1</v>
      </c>
      <c r="AC411">
        <v>0</v>
      </c>
      <c r="AD411">
        <v>0</v>
      </c>
    </row>
    <row r="412" spans="1:30" x14ac:dyDescent="0.3">
      <c r="A412" t="s">
        <v>879</v>
      </c>
      <c r="B412" t="s">
        <v>1190</v>
      </c>
      <c r="C412" t="s">
        <v>770</v>
      </c>
      <c r="D412">
        <v>1</v>
      </c>
      <c r="E412">
        <v>0</v>
      </c>
      <c r="F412">
        <v>1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1</v>
      </c>
      <c r="S412">
        <v>1</v>
      </c>
      <c r="T412">
        <v>1</v>
      </c>
      <c r="U412">
        <v>0</v>
      </c>
      <c r="V412">
        <v>1</v>
      </c>
      <c r="W412">
        <v>1</v>
      </c>
      <c r="X412">
        <v>1</v>
      </c>
      <c r="Y412">
        <v>0</v>
      </c>
      <c r="Z412">
        <v>0</v>
      </c>
      <c r="AA412">
        <v>0</v>
      </c>
      <c r="AB412">
        <v>1</v>
      </c>
      <c r="AC412">
        <v>0</v>
      </c>
      <c r="AD412">
        <v>0</v>
      </c>
    </row>
    <row r="413" spans="1:30" x14ac:dyDescent="0.3">
      <c r="A413" t="s">
        <v>880</v>
      </c>
      <c r="B413" t="s">
        <v>1194</v>
      </c>
      <c r="C413" t="s">
        <v>770</v>
      </c>
      <c r="D413">
        <v>1</v>
      </c>
      <c r="E413">
        <v>0</v>
      </c>
      <c r="F413">
        <v>1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1</v>
      </c>
      <c r="W413">
        <v>1</v>
      </c>
      <c r="X413">
        <v>1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</row>
    <row r="414" spans="1:30" x14ac:dyDescent="0.3">
      <c r="A414" t="s">
        <v>881</v>
      </c>
      <c r="B414" t="s">
        <v>1192</v>
      </c>
      <c r="C414" t="s">
        <v>807</v>
      </c>
      <c r="D414">
        <v>1</v>
      </c>
      <c r="E414">
        <v>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0</v>
      </c>
      <c r="T414">
        <v>1</v>
      </c>
      <c r="U414">
        <v>0</v>
      </c>
      <c r="V414">
        <v>1</v>
      </c>
      <c r="W414">
        <v>1</v>
      </c>
      <c r="X414">
        <v>1</v>
      </c>
      <c r="Y414">
        <v>0</v>
      </c>
      <c r="Z414">
        <v>0</v>
      </c>
      <c r="AA414">
        <v>0</v>
      </c>
      <c r="AB414">
        <v>1</v>
      </c>
      <c r="AC414">
        <v>1</v>
      </c>
      <c r="AD414">
        <v>0</v>
      </c>
    </row>
    <row r="415" spans="1:30" x14ac:dyDescent="0.3">
      <c r="A415" t="s">
        <v>882</v>
      </c>
      <c r="B415" t="s">
        <v>1194</v>
      </c>
      <c r="C415" t="s">
        <v>807</v>
      </c>
      <c r="D415">
        <v>1</v>
      </c>
      <c r="E415">
        <v>0</v>
      </c>
      <c r="F415">
        <v>1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1</v>
      </c>
      <c r="X415">
        <v>1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0</v>
      </c>
    </row>
    <row r="416" spans="1:30" x14ac:dyDescent="0.3">
      <c r="A416" t="s">
        <v>883</v>
      </c>
      <c r="B416" t="s">
        <v>770</v>
      </c>
      <c r="C416" t="s">
        <v>770</v>
      </c>
      <c r="D416">
        <v>1</v>
      </c>
      <c r="E416">
        <v>1</v>
      </c>
      <c r="F416">
        <v>1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1</v>
      </c>
      <c r="U416">
        <v>0</v>
      </c>
      <c r="V416">
        <v>1</v>
      </c>
      <c r="W416">
        <v>1</v>
      </c>
      <c r="X416">
        <v>1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</row>
    <row r="417" spans="1:30" x14ac:dyDescent="0.3">
      <c r="A417" t="s">
        <v>884</v>
      </c>
      <c r="B417" t="s">
        <v>1192</v>
      </c>
      <c r="C417" t="s">
        <v>807</v>
      </c>
      <c r="D417">
        <v>1</v>
      </c>
      <c r="E417">
        <v>0</v>
      </c>
      <c r="F417">
        <v>1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</v>
      </c>
      <c r="S417">
        <v>0</v>
      </c>
      <c r="T417">
        <v>1</v>
      </c>
      <c r="U417">
        <v>0</v>
      </c>
      <c r="V417">
        <v>1</v>
      </c>
      <c r="W417">
        <v>1</v>
      </c>
      <c r="X417">
        <v>1</v>
      </c>
      <c r="Y417">
        <v>0</v>
      </c>
      <c r="Z417">
        <v>0</v>
      </c>
      <c r="AA417">
        <v>0</v>
      </c>
      <c r="AB417">
        <v>1</v>
      </c>
      <c r="AC417">
        <v>0</v>
      </c>
      <c r="AD417">
        <v>0</v>
      </c>
    </row>
    <row r="418" spans="1:30" x14ac:dyDescent="0.3">
      <c r="A418" t="s">
        <v>885</v>
      </c>
      <c r="B418" t="s">
        <v>1193</v>
      </c>
      <c r="C418" t="s">
        <v>559</v>
      </c>
      <c r="D418">
        <v>1</v>
      </c>
      <c r="E418">
        <v>1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1</v>
      </c>
      <c r="X418">
        <v>0</v>
      </c>
      <c r="Y418">
        <v>0</v>
      </c>
      <c r="Z418">
        <v>0</v>
      </c>
      <c r="AA418">
        <v>0</v>
      </c>
      <c r="AB418">
        <v>1</v>
      </c>
      <c r="AC418">
        <v>0</v>
      </c>
      <c r="AD418">
        <v>0</v>
      </c>
    </row>
    <row r="419" spans="1:30" x14ac:dyDescent="0.3">
      <c r="A419" t="s">
        <v>886</v>
      </c>
      <c r="B419" t="s">
        <v>770</v>
      </c>
      <c r="C419" t="s">
        <v>770</v>
      </c>
      <c r="D419">
        <v>1</v>
      </c>
      <c r="E419">
        <v>1</v>
      </c>
      <c r="F419">
        <v>1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1</v>
      </c>
      <c r="U419">
        <v>0</v>
      </c>
      <c r="V419">
        <v>1</v>
      </c>
      <c r="W419">
        <v>1</v>
      </c>
      <c r="X419">
        <v>1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</row>
    <row r="420" spans="1:30" x14ac:dyDescent="0.3">
      <c r="A420" t="s">
        <v>887</v>
      </c>
      <c r="B420" t="s">
        <v>1192</v>
      </c>
      <c r="C420" t="s">
        <v>807</v>
      </c>
      <c r="D420">
        <v>1</v>
      </c>
      <c r="E420">
        <v>1</v>
      </c>
      <c r="F420">
        <v>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</v>
      </c>
      <c r="W420">
        <v>1</v>
      </c>
      <c r="X420">
        <v>1</v>
      </c>
      <c r="Y420">
        <v>0</v>
      </c>
      <c r="Z420">
        <v>0</v>
      </c>
      <c r="AA420">
        <v>0</v>
      </c>
      <c r="AB420">
        <v>1</v>
      </c>
      <c r="AC420">
        <v>1</v>
      </c>
      <c r="AD420">
        <v>0</v>
      </c>
    </row>
    <row r="421" spans="1:30" x14ac:dyDescent="0.3">
      <c r="A421" t="s">
        <v>888</v>
      </c>
      <c r="B421" t="s">
        <v>1194</v>
      </c>
      <c r="C421" t="s">
        <v>771</v>
      </c>
      <c r="D421">
        <v>1</v>
      </c>
      <c r="E421">
        <v>0</v>
      </c>
      <c r="F421">
        <v>1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1</v>
      </c>
      <c r="W421">
        <v>1</v>
      </c>
      <c r="X421">
        <v>1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0</v>
      </c>
    </row>
    <row r="422" spans="1:30" x14ac:dyDescent="0.3">
      <c r="A422" t="s">
        <v>889</v>
      </c>
      <c r="B422" t="s">
        <v>1190</v>
      </c>
      <c r="C422" t="s">
        <v>770</v>
      </c>
      <c r="D422">
        <v>1</v>
      </c>
      <c r="E422">
        <v>1</v>
      </c>
      <c r="F422">
        <v>1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1</v>
      </c>
      <c r="S422">
        <v>0</v>
      </c>
      <c r="T422">
        <v>1</v>
      </c>
      <c r="U422">
        <v>0</v>
      </c>
      <c r="V422">
        <v>1</v>
      </c>
      <c r="W422">
        <v>1</v>
      </c>
      <c r="X422">
        <v>1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</row>
    <row r="423" spans="1:30" x14ac:dyDescent="0.3">
      <c r="A423" t="s">
        <v>890</v>
      </c>
      <c r="B423" t="s">
        <v>770</v>
      </c>
      <c r="C423" t="s">
        <v>770</v>
      </c>
      <c r="D423">
        <v>1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1</v>
      </c>
      <c r="S423">
        <v>1</v>
      </c>
      <c r="T423">
        <v>1</v>
      </c>
      <c r="U423">
        <v>0</v>
      </c>
      <c r="V423">
        <v>1</v>
      </c>
      <c r="W423">
        <v>1</v>
      </c>
      <c r="X423">
        <v>1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0</v>
      </c>
    </row>
    <row r="424" spans="1:30" x14ac:dyDescent="0.3">
      <c r="A424" t="s">
        <v>891</v>
      </c>
      <c r="B424" t="s">
        <v>1194</v>
      </c>
      <c r="C424" t="s">
        <v>551</v>
      </c>
      <c r="D424">
        <v>1</v>
      </c>
      <c r="E424">
        <v>0</v>
      </c>
      <c r="F424">
        <v>1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1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0</v>
      </c>
    </row>
    <row r="425" spans="1:30" x14ac:dyDescent="0.3">
      <c r="A425" t="s">
        <v>892</v>
      </c>
      <c r="B425" t="s">
        <v>1193</v>
      </c>
      <c r="C425" t="s">
        <v>807</v>
      </c>
      <c r="D425">
        <v>1</v>
      </c>
      <c r="E425">
        <v>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1</v>
      </c>
      <c r="S425">
        <v>1</v>
      </c>
      <c r="T425">
        <v>1</v>
      </c>
      <c r="U425">
        <v>0</v>
      </c>
      <c r="V425">
        <v>1</v>
      </c>
      <c r="W425">
        <v>1</v>
      </c>
      <c r="X425">
        <v>1</v>
      </c>
      <c r="Y425">
        <v>0</v>
      </c>
      <c r="Z425">
        <v>0</v>
      </c>
      <c r="AA425">
        <v>0</v>
      </c>
      <c r="AB425">
        <v>0</v>
      </c>
      <c r="AC425">
        <v>1</v>
      </c>
      <c r="AD425">
        <v>0</v>
      </c>
    </row>
    <row r="426" spans="1:30" x14ac:dyDescent="0.3">
      <c r="A426" t="s">
        <v>893</v>
      </c>
      <c r="B426" t="s">
        <v>1193</v>
      </c>
      <c r="C426" t="s">
        <v>771</v>
      </c>
      <c r="D426">
        <v>1</v>
      </c>
      <c r="E426">
        <v>1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1</v>
      </c>
      <c r="S426">
        <v>0</v>
      </c>
      <c r="T426">
        <v>1</v>
      </c>
      <c r="U426">
        <v>0</v>
      </c>
      <c r="V426">
        <v>1</v>
      </c>
      <c r="W426">
        <v>1</v>
      </c>
      <c r="X426">
        <v>1</v>
      </c>
      <c r="Y426">
        <v>0</v>
      </c>
      <c r="Z426">
        <v>0</v>
      </c>
      <c r="AA426">
        <v>0</v>
      </c>
      <c r="AB426">
        <v>1</v>
      </c>
      <c r="AC426">
        <v>0</v>
      </c>
      <c r="AD426">
        <v>0</v>
      </c>
    </row>
    <row r="427" spans="1:30" x14ac:dyDescent="0.3">
      <c r="A427" t="s">
        <v>894</v>
      </c>
      <c r="B427" t="s">
        <v>1193</v>
      </c>
      <c r="C427" t="s">
        <v>807</v>
      </c>
      <c r="D427">
        <v>1</v>
      </c>
      <c r="E427">
        <v>0</v>
      </c>
      <c r="F427">
        <v>1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1</v>
      </c>
      <c r="T427">
        <v>1</v>
      </c>
      <c r="U427">
        <v>0</v>
      </c>
      <c r="V427">
        <v>1</v>
      </c>
      <c r="W427">
        <v>1</v>
      </c>
      <c r="X427">
        <v>1</v>
      </c>
      <c r="Y427">
        <v>0</v>
      </c>
      <c r="Z427">
        <v>0</v>
      </c>
      <c r="AA427">
        <v>0</v>
      </c>
      <c r="AB427">
        <v>1</v>
      </c>
      <c r="AC427">
        <v>0</v>
      </c>
      <c r="AD427">
        <v>0</v>
      </c>
    </row>
    <row r="428" spans="1:30" x14ac:dyDescent="0.3">
      <c r="A428" t="s">
        <v>895</v>
      </c>
      <c r="B428" t="s">
        <v>1193</v>
      </c>
      <c r="C428" t="s">
        <v>807</v>
      </c>
      <c r="D428">
        <v>1</v>
      </c>
      <c r="E428">
        <v>1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</v>
      </c>
      <c r="S428">
        <v>1</v>
      </c>
      <c r="T428">
        <v>1</v>
      </c>
      <c r="U428">
        <v>0</v>
      </c>
      <c r="V428">
        <v>1</v>
      </c>
      <c r="W428">
        <v>1</v>
      </c>
      <c r="X428">
        <v>1</v>
      </c>
      <c r="Y428">
        <v>0</v>
      </c>
      <c r="Z428">
        <v>0</v>
      </c>
      <c r="AA428">
        <v>0</v>
      </c>
      <c r="AB428">
        <v>0</v>
      </c>
      <c r="AC428">
        <v>1</v>
      </c>
      <c r="AD428">
        <v>0</v>
      </c>
    </row>
    <row r="429" spans="1:30" x14ac:dyDescent="0.3">
      <c r="A429" t="s">
        <v>896</v>
      </c>
      <c r="B429" t="s">
        <v>1193</v>
      </c>
      <c r="C429" t="s">
        <v>807</v>
      </c>
      <c r="D429">
        <v>1</v>
      </c>
      <c r="E429">
        <v>0</v>
      </c>
      <c r="F429">
        <v>1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</v>
      </c>
      <c r="W429">
        <v>1</v>
      </c>
      <c r="X429">
        <v>1</v>
      </c>
      <c r="Y429">
        <v>0</v>
      </c>
      <c r="Z429">
        <v>0</v>
      </c>
      <c r="AA429">
        <v>0</v>
      </c>
      <c r="AB429">
        <v>1</v>
      </c>
      <c r="AC429">
        <v>0</v>
      </c>
      <c r="AD429">
        <v>0</v>
      </c>
    </row>
    <row r="430" spans="1:30" x14ac:dyDescent="0.3">
      <c r="A430" t="s">
        <v>897</v>
      </c>
      <c r="B430" t="s">
        <v>1193</v>
      </c>
      <c r="C430" t="s">
        <v>58</v>
      </c>
      <c r="D430">
        <v>1</v>
      </c>
      <c r="E430">
        <v>1</v>
      </c>
      <c r="F430">
        <v>1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0</v>
      </c>
      <c r="V430">
        <v>1</v>
      </c>
      <c r="W430">
        <v>1</v>
      </c>
      <c r="X430">
        <v>1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0</v>
      </c>
    </row>
    <row r="431" spans="1:30" x14ac:dyDescent="0.3">
      <c r="A431" t="s">
        <v>695</v>
      </c>
      <c r="B431" t="s">
        <v>1190</v>
      </c>
      <c r="C431" t="s">
        <v>771</v>
      </c>
      <c r="D431">
        <v>1</v>
      </c>
      <c r="E431">
        <v>1</v>
      </c>
      <c r="F431">
        <v>1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0</v>
      </c>
      <c r="V431">
        <v>1</v>
      </c>
      <c r="W431">
        <v>1</v>
      </c>
      <c r="X431">
        <v>1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0</v>
      </c>
    </row>
    <row r="432" spans="1:30" x14ac:dyDescent="0.3">
      <c r="A432" t="s">
        <v>898</v>
      </c>
      <c r="B432" t="s">
        <v>1193</v>
      </c>
      <c r="C432" t="s">
        <v>807</v>
      </c>
      <c r="D432">
        <v>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1</v>
      </c>
      <c r="U432">
        <v>0</v>
      </c>
      <c r="V432">
        <v>1</v>
      </c>
      <c r="W432">
        <v>1</v>
      </c>
      <c r="X432">
        <v>1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</row>
    <row r="433" spans="1:30" x14ac:dyDescent="0.3">
      <c r="A433" t="s">
        <v>899</v>
      </c>
      <c r="B433" t="s">
        <v>1193</v>
      </c>
      <c r="C433" t="s">
        <v>807</v>
      </c>
      <c r="D433">
        <v>1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1</v>
      </c>
      <c r="U433">
        <v>0</v>
      </c>
      <c r="V433">
        <v>1</v>
      </c>
      <c r="W433">
        <v>1</v>
      </c>
      <c r="X433">
        <v>1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0</v>
      </c>
    </row>
    <row r="434" spans="1:30" x14ac:dyDescent="0.3">
      <c r="A434" t="s">
        <v>900</v>
      </c>
      <c r="B434" t="s">
        <v>1193</v>
      </c>
      <c r="C434" t="s">
        <v>807</v>
      </c>
      <c r="D434">
        <v>1</v>
      </c>
      <c r="E434">
        <v>1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</v>
      </c>
      <c r="S434">
        <v>0</v>
      </c>
      <c r="T434">
        <v>1</v>
      </c>
      <c r="U434">
        <v>0</v>
      </c>
      <c r="V434">
        <v>1</v>
      </c>
      <c r="W434">
        <v>1</v>
      </c>
      <c r="X434">
        <v>1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</row>
    <row r="435" spans="1:30" x14ac:dyDescent="0.3">
      <c r="A435" t="s">
        <v>901</v>
      </c>
      <c r="B435" t="s">
        <v>1193</v>
      </c>
      <c r="C435" t="s">
        <v>807</v>
      </c>
      <c r="D435">
        <v>1</v>
      </c>
      <c r="E435">
        <v>0</v>
      </c>
      <c r="F435">
        <v>1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1</v>
      </c>
      <c r="S435">
        <v>0</v>
      </c>
      <c r="T435">
        <v>1</v>
      </c>
      <c r="U435">
        <v>0</v>
      </c>
      <c r="V435">
        <v>1</v>
      </c>
      <c r="W435">
        <v>1</v>
      </c>
      <c r="X435">
        <v>1</v>
      </c>
      <c r="Y435">
        <v>0</v>
      </c>
      <c r="Z435">
        <v>0</v>
      </c>
      <c r="AA435">
        <v>0</v>
      </c>
      <c r="AB435">
        <v>0</v>
      </c>
      <c r="AC435">
        <v>1</v>
      </c>
      <c r="AD435">
        <v>0</v>
      </c>
    </row>
    <row r="436" spans="1:30" x14ac:dyDescent="0.3">
      <c r="A436" t="s">
        <v>902</v>
      </c>
      <c r="B436" t="s">
        <v>1193</v>
      </c>
      <c r="C436" t="s">
        <v>807</v>
      </c>
      <c r="D436">
        <v>1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0</v>
      </c>
      <c r="V436">
        <v>1</v>
      </c>
      <c r="W436">
        <v>1</v>
      </c>
      <c r="X436">
        <v>1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0</v>
      </c>
    </row>
    <row r="437" spans="1:30" x14ac:dyDescent="0.3">
      <c r="A437" t="s">
        <v>903</v>
      </c>
      <c r="B437" t="s">
        <v>770</v>
      </c>
      <c r="C437" t="s">
        <v>770</v>
      </c>
      <c r="D437">
        <v>1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1</v>
      </c>
      <c r="S437">
        <v>1</v>
      </c>
      <c r="T437">
        <v>1</v>
      </c>
      <c r="U437">
        <v>0</v>
      </c>
      <c r="V437">
        <v>1</v>
      </c>
      <c r="W437">
        <v>1</v>
      </c>
      <c r="X437">
        <v>1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</row>
    <row r="438" spans="1:30" x14ac:dyDescent="0.3">
      <c r="A438" t="s">
        <v>904</v>
      </c>
      <c r="B438" t="s">
        <v>1193</v>
      </c>
      <c r="C438" t="s">
        <v>807</v>
      </c>
      <c r="D438">
        <v>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1</v>
      </c>
      <c r="W438">
        <v>1</v>
      </c>
      <c r="X438">
        <v>1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0</v>
      </c>
    </row>
    <row r="439" spans="1:30" x14ac:dyDescent="0.3">
      <c r="A439" t="s">
        <v>905</v>
      </c>
      <c r="B439" t="s">
        <v>770</v>
      </c>
      <c r="C439" t="s">
        <v>770</v>
      </c>
      <c r="D439">
        <v>1</v>
      </c>
      <c r="E439">
        <v>0</v>
      </c>
      <c r="F439">
        <v>1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1</v>
      </c>
      <c r="S439">
        <v>0</v>
      </c>
      <c r="T439">
        <v>1</v>
      </c>
      <c r="U439">
        <v>0</v>
      </c>
      <c r="V439">
        <v>1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</row>
    <row r="440" spans="1:30" x14ac:dyDescent="0.3">
      <c r="A440" t="s">
        <v>906</v>
      </c>
      <c r="B440" t="s">
        <v>1193</v>
      </c>
      <c r="C440" t="s">
        <v>807</v>
      </c>
      <c r="D440">
        <v>1</v>
      </c>
      <c r="E440">
        <v>1</v>
      </c>
      <c r="F440">
        <v>1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1</v>
      </c>
      <c r="S440">
        <v>0</v>
      </c>
      <c r="T440">
        <v>1</v>
      </c>
      <c r="U440">
        <v>0</v>
      </c>
      <c r="V440">
        <v>1</v>
      </c>
      <c r="W440">
        <v>1</v>
      </c>
      <c r="X440">
        <v>1</v>
      </c>
      <c r="Y440">
        <v>0</v>
      </c>
      <c r="Z440">
        <v>0</v>
      </c>
      <c r="AA440">
        <v>0</v>
      </c>
      <c r="AB440">
        <v>0</v>
      </c>
      <c r="AC440">
        <v>1</v>
      </c>
      <c r="AD440">
        <v>0</v>
      </c>
    </row>
    <row r="441" spans="1:30" x14ac:dyDescent="0.3">
      <c r="A441" t="s">
        <v>907</v>
      </c>
      <c r="B441" t="s">
        <v>1194</v>
      </c>
      <c r="C441" t="s">
        <v>770</v>
      </c>
      <c r="D441">
        <v>1</v>
      </c>
      <c r="E441">
        <v>0</v>
      </c>
      <c r="F441">
        <v>1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1</v>
      </c>
      <c r="W441">
        <v>1</v>
      </c>
      <c r="X441">
        <v>1</v>
      </c>
      <c r="Y441">
        <v>0</v>
      </c>
      <c r="Z441">
        <v>0</v>
      </c>
      <c r="AA441">
        <v>0</v>
      </c>
      <c r="AB441">
        <v>0</v>
      </c>
      <c r="AC441">
        <v>1</v>
      </c>
      <c r="AD441">
        <v>0</v>
      </c>
    </row>
    <row r="442" spans="1:30" x14ac:dyDescent="0.3">
      <c r="A442" t="s">
        <v>908</v>
      </c>
      <c r="B442" t="s">
        <v>1193</v>
      </c>
      <c r="C442" t="s">
        <v>807</v>
      </c>
      <c r="D442">
        <v>1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1</v>
      </c>
      <c r="S442">
        <v>0</v>
      </c>
      <c r="T442">
        <v>1</v>
      </c>
      <c r="U442">
        <v>0</v>
      </c>
      <c r="V442">
        <v>1</v>
      </c>
      <c r="W442">
        <v>1</v>
      </c>
      <c r="X442">
        <v>1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0</v>
      </c>
    </row>
    <row r="443" spans="1:30" x14ac:dyDescent="0.3">
      <c r="A443" t="s">
        <v>909</v>
      </c>
      <c r="B443" t="s">
        <v>1194</v>
      </c>
      <c r="C443" t="s">
        <v>807</v>
      </c>
      <c r="D443">
        <v>1</v>
      </c>
      <c r="E443">
        <v>1</v>
      </c>
      <c r="F443">
        <v>1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1</v>
      </c>
      <c r="X443">
        <v>1</v>
      </c>
      <c r="Y443">
        <v>0</v>
      </c>
      <c r="Z443">
        <v>0</v>
      </c>
      <c r="AA443">
        <v>0</v>
      </c>
      <c r="AB443">
        <v>0</v>
      </c>
      <c r="AC443">
        <v>1</v>
      </c>
      <c r="AD443">
        <v>0</v>
      </c>
    </row>
    <row r="444" spans="1:30" x14ac:dyDescent="0.3">
      <c r="A444" t="s">
        <v>910</v>
      </c>
      <c r="B444" t="s">
        <v>1193</v>
      </c>
      <c r="C444" t="s">
        <v>770</v>
      </c>
      <c r="D444">
        <v>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1</v>
      </c>
      <c r="X444">
        <v>1</v>
      </c>
      <c r="Y444">
        <v>0</v>
      </c>
      <c r="Z444">
        <v>0</v>
      </c>
      <c r="AA444">
        <v>0</v>
      </c>
      <c r="AB444">
        <v>0</v>
      </c>
      <c r="AC444">
        <v>1</v>
      </c>
      <c r="AD444">
        <v>0</v>
      </c>
    </row>
    <row r="445" spans="1:30" x14ac:dyDescent="0.3">
      <c r="A445" t="s">
        <v>750</v>
      </c>
      <c r="B445" t="s">
        <v>1192</v>
      </c>
      <c r="C445" t="s">
        <v>770</v>
      </c>
      <c r="D445">
        <v>1</v>
      </c>
      <c r="E445">
        <v>0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1</v>
      </c>
      <c r="W445">
        <v>1</v>
      </c>
      <c r="X445">
        <v>1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0</v>
      </c>
    </row>
    <row r="446" spans="1:30" x14ac:dyDescent="0.3">
      <c r="A446" t="s">
        <v>911</v>
      </c>
      <c r="B446" t="s">
        <v>1193</v>
      </c>
      <c r="C446" t="s">
        <v>807</v>
      </c>
      <c r="D446">
        <v>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0</v>
      </c>
      <c r="U446">
        <v>0</v>
      </c>
      <c r="V446">
        <v>1</v>
      </c>
      <c r="W446">
        <v>1</v>
      </c>
      <c r="X446">
        <v>1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0</v>
      </c>
    </row>
    <row r="447" spans="1:30" x14ac:dyDescent="0.3">
      <c r="A447" t="s">
        <v>912</v>
      </c>
      <c r="B447" t="s">
        <v>1193</v>
      </c>
      <c r="C447" t="s">
        <v>58</v>
      </c>
      <c r="D447">
        <v>1</v>
      </c>
      <c r="E447">
        <v>1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1</v>
      </c>
      <c r="S447">
        <v>1</v>
      </c>
      <c r="T447">
        <v>1</v>
      </c>
      <c r="U447">
        <v>0</v>
      </c>
      <c r="V447">
        <v>1</v>
      </c>
      <c r="W447">
        <v>1</v>
      </c>
      <c r="X447">
        <v>1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</row>
    <row r="448" spans="1:30" x14ac:dyDescent="0.3">
      <c r="A448" t="s">
        <v>913</v>
      </c>
      <c r="B448" t="s">
        <v>1192</v>
      </c>
      <c r="C448" t="s">
        <v>773</v>
      </c>
      <c r="D448">
        <v>1</v>
      </c>
      <c r="E448">
        <v>1</v>
      </c>
      <c r="F448">
        <v>1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1</v>
      </c>
      <c r="W448">
        <v>1</v>
      </c>
      <c r="X448">
        <v>1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</row>
    <row r="449" spans="1:30" x14ac:dyDescent="0.3">
      <c r="A449" t="s">
        <v>914</v>
      </c>
      <c r="B449" t="s">
        <v>1193</v>
      </c>
      <c r="C449" t="s">
        <v>807</v>
      </c>
      <c r="D449">
        <v>1</v>
      </c>
      <c r="E449">
        <v>1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1</v>
      </c>
      <c r="S449">
        <v>0</v>
      </c>
      <c r="T449">
        <v>1</v>
      </c>
      <c r="U449">
        <v>0</v>
      </c>
      <c r="V449">
        <v>1</v>
      </c>
      <c r="W449">
        <v>1</v>
      </c>
      <c r="X449">
        <v>1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0</v>
      </c>
    </row>
    <row r="450" spans="1:30" x14ac:dyDescent="0.3">
      <c r="A450" t="s">
        <v>915</v>
      </c>
      <c r="B450" t="s">
        <v>1191</v>
      </c>
      <c r="C450" t="s">
        <v>770</v>
      </c>
      <c r="D450">
        <v>1</v>
      </c>
      <c r="E450">
        <v>0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</v>
      </c>
      <c r="W450">
        <v>1</v>
      </c>
      <c r="X450">
        <v>1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</row>
    <row r="451" spans="1:30" x14ac:dyDescent="0.3">
      <c r="A451" t="s">
        <v>916</v>
      </c>
      <c r="B451" t="s">
        <v>1193</v>
      </c>
      <c r="C451" t="s">
        <v>807</v>
      </c>
      <c r="D451">
        <v>1</v>
      </c>
      <c r="E451">
        <v>1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1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</row>
    <row r="452" spans="1:30" x14ac:dyDescent="0.3">
      <c r="A452" t="s">
        <v>917</v>
      </c>
      <c r="B452" t="s">
        <v>1193</v>
      </c>
      <c r="C452" t="s">
        <v>807</v>
      </c>
      <c r="D452">
        <v>1</v>
      </c>
      <c r="E452">
        <v>1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</v>
      </c>
      <c r="S452">
        <v>0</v>
      </c>
      <c r="T452">
        <v>0</v>
      </c>
      <c r="U452">
        <v>0</v>
      </c>
      <c r="V452">
        <v>1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</row>
    <row r="453" spans="1:30" x14ac:dyDescent="0.3">
      <c r="A453" t="s">
        <v>918</v>
      </c>
      <c r="B453" t="s">
        <v>1193</v>
      </c>
      <c r="C453" t="s">
        <v>807</v>
      </c>
      <c r="D453">
        <v>1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0</v>
      </c>
      <c r="V453">
        <v>1</v>
      </c>
      <c r="W453">
        <v>1</v>
      </c>
      <c r="X453">
        <v>1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0</v>
      </c>
    </row>
    <row r="454" spans="1:30" x14ac:dyDescent="0.3">
      <c r="A454" t="s">
        <v>919</v>
      </c>
      <c r="B454" t="s">
        <v>1193</v>
      </c>
      <c r="C454" t="s">
        <v>807</v>
      </c>
      <c r="D454">
        <v>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0</v>
      </c>
      <c r="V454">
        <v>1</v>
      </c>
      <c r="W454">
        <v>1</v>
      </c>
      <c r="X454">
        <v>1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0</v>
      </c>
    </row>
    <row r="455" spans="1:30" x14ac:dyDescent="0.3">
      <c r="A455" t="s">
        <v>920</v>
      </c>
      <c r="B455" t="s">
        <v>1192</v>
      </c>
      <c r="C455" t="s">
        <v>807</v>
      </c>
      <c r="D455">
        <v>1</v>
      </c>
      <c r="E455">
        <v>1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1</v>
      </c>
      <c r="S455">
        <v>0</v>
      </c>
      <c r="T455">
        <v>0</v>
      </c>
      <c r="U455">
        <v>0</v>
      </c>
      <c r="V455">
        <v>1</v>
      </c>
      <c r="W455">
        <v>1</v>
      </c>
      <c r="X455">
        <v>1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0</v>
      </c>
    </row>
    <row r="456" spans="1:30" x14ac:dyDescent="0.3">
      <c r="A456" t="s">
        <v>921</v>
      </c>
      <c r="B456" t="s">
        <v>1190</v>
      </c>
      <c r="C456" t="s">
        <v>770</v>
      </c>
      <c r="D456">
        <v>1</v>
      </c>
      <c r="E456">
        <v>1</v>
      </c>
      <c r="F456">
        <v>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1</v>
      </c>
      <c r="W456">
        <v>1</v>
      </c>
      <c r="X456">
        <v>1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</row>
    <row r="457" spans="1:30" x14ac:dyDescent="0.3">
      <c r="A457" t="s">
        <v>716</v>
      </c>
      <c r="B457" t="s">
        <v>1193</v>
      </c>
      <c r="C457" t="s">
        <v>770</v>
      </c>
      <c r="D457">
        <v>1</v>
      </c>
      <c r="E457">
        <v>1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</v>
      </c>
      <c r="W457">
        <v>1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0</v>
      </c>
    </row>
    <row r="458" spans="1:30" x14ac:dyDescent="0.3">
      <c r="A458" t="s">
        <v>922</v>
      </c>
      <c r="B458" t="s">
        <v>1193</v>
      </c>
      <c r="C458" t="s">
        <v>807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1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</row>
    <row r="459" spans="1:30" x14ac:dyDescent="0.3">
      <c r="A459" t="s">
        <v>923</v>
      </c>
      <c r="B459" t="s">
        <v>770</v>
      </c>
      <c r="C459" t="s">
        <v>770</v>
      </c>
      <c r="D459">
        <v>1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1</v>
      </c>
      <c r="S459">
        <v>0</v>
      </c>
      <c r="T459">
        <v>1</v>
      </c>
      <c r="U459">
        <v>0</v>
      </c>
      <c r="V459">
        <v>1</v>
      </c>
      <c r="W459">
        <v>1</v>
      </c>
      <c r="X459">
        <v>1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</row>
    <row r="460" spans="1:30" x14ac:dyDescent="0.3">
      <c r="A460" t="s">
        <v>924</v>
      </c>
      <c r="B460" t="s">
        <v>1193</v>
      </c>
      <c r="C460" t="s">
        <v>807</v>
      </c>
      <c r="D460">
        <v>1</v>
      </c>
      <c r="E460">
        <v>1</v>
      </c>
      <c r="F460">
        <v>1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1</v>
      </c>
      <c r="S460">
        <v>0</v>
      </c>
      <c r="T460">
        <v>1</v>
      </c>
      <c r="U460">
        <v>0</v>
      </c>
      <c r="V460">
        <v>1</v>
      </c>
      <c r="W460">
        <v>1</v>
      </c>
      <c r="X460">
        <v>1</v>
      </c>
      <c r="Y460">
        <v>0</v>
      </c>
      <c r="Z460">
        <v>0</v>
      </c>
      <c r="AA460">
        <v>0</v>
      </c>
      <c r="AB460">
        <v>1</v>
      </c>
      <c r="AC460">
        <v>1</v>
      </c>
      <c r="AD460">
        <v>0</v>
      </c>
    </row>
    <row r="461" spans="1:30" x14ac:dyDescent="0.3">
      <c r="A461" t="s">
        <v>925</v>
      </c>
      <c r="B461" t="s">
        <v>770</v>
      </c>
      <c r="C461" t="s">
        <v>770</v>
      </c>
      <c r="D461">
        <v>1</v>
      </c>
      <c r="E461">
        <v>1</v>
      </c>
      <c r="F461">
        <v>1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1</v>
      </c>
      <c r="T461">
        <v>1</v>
      </c>
      <c r="U461">
        <v>0</v>
      </c>
      <c r="V461">
        <v>1</v>
      </c>
      <c r="W461">
        <v>1</v>
      </c>
      <c r="X461">
        <v>1</v>
      </c>
      <c r="Y461">
        <v>0</v>
      </c>
      <c r="Z461">
        <v>0</v>
      </c>
      <c r="AA461">
        <v>0</v>
      </c>
      <c r="AB461">
        <v>1</v>
      </c>
      <c r="AC461">
        <v>1</v>
      </c>
      <c r="AD461">
        <v>0</v>
      </c>
    </row>
    <row r="462" spans="1:30" x14ac:dyDescent="0.3">
      <c r="A462" t="s">
        <v>926</v>
      </c>
      <c r="B462" t="s">
        <v>1193</v>
      </c>
      <c r="C462" t="s">
        <v>807</v>
      </c>
      <c r="D462">
        <v>1</v>
      </c>
      <c r="E462">
        <v>1</v>
      </c>
      <c r="F462">
        <v>1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</v>
      </c>
      <c r="W462">
        <v>1</v>
      </c>
      <c r="X462">
        <v>1</v>
      </c>
      <c r="Y462">
        <v>0</v>
      </c>
      <c r="Z462">
        <v>0</v>
      </c>
      <c r="AA462">
        <v>0</v>
      </c>
      <c r="AB462">
        <v>0</v>
      </c>
      <c r="AC462">
        <v>1</v>
      </c>
      <c r="AD462">
        <v>0</v>
      </c>
    </row>
    <row r="463" spans="1:30" x14ac:dyDescent="0.3">
      <c r="A463" t="s">
        <v>927</v>
      </c>
      <c r="B463" t="s">
        <v>1194</v>
      </c>
      <c r="C463" t="s">
        <v>770</v>
      </c>
      <c r="D463">
        <v>1</v>
      </c>
      <c r="E463">
        <v>0</v>
      </c>
      <c r="F463">
        <v>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1</v>
      </c>
      <c r="W463">
        <v>1</v>
      </c>
      <c r="X463">
        <v>1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0</v>
      </c>
    </row>
    <row r="464" spans="1:30" x14ac:dyDescent="0.3">
      <c r="A464" t="s">
        <v>928</v>
      </c>
      <c r="B464" t="s">
        <v>1193</v>
      </c>
      <c r="C464" t="s">
        <v>807</v>
      </c>
      <c r="D464">
        <v>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1</v>
      </c>
      <c r="S464">
        <v>1</v>
      </c>
      <c r="T464">
        <v>1</v>
      </c>
      <c r="U464">
        <v>0</v>
      </c>
      <c r="V464">
        <v>1</v>
      </c>
      <c r="W464">
        <v>1</v>
      </c>
      <c r="X464">
        <v>1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0</v>
      </c>
    </row>
    <row r="465" spans="1:30" x14ac:dyDescent="0.3">
      <c r="A465" t="s">
        <v>929</v>
      </c>
      <c r="B465" t="s">
        <v>1193</v>
      </c>
      <c r="C465" t="s">
        <v>770</v>
      </c>
      <c r="D465">
        <v>1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</row>
    <row r="466" spans="1:30" x14ac:dyDescent="0.3">
      <c r="A466" t="s">
        <v>930</v>
      </c>
      <c r="B466" t="s">
        <v>1193</v>
      </c>
      <c r="C466" t="s">
        <v>807</v>
      </c>
      <c r="D466">
        <v>1</v>
      </c>
      <c r="E466">
        <v>0</v>
      </c>
      <c r="F466">
        <v>1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1</v>
      </c>
      <c r="W466">
        <v>1</v>
      </c>
      <c r="X466">
        <v>1</v>
      </c>
      <c r="Y466">
        <v>0</v>
      </c>
      <c r="Z466">
        <v>0</v>
      </c>
      <c r="AA466">
        <v>0</v>
      </c>
      <c r="AB466">
        <v>1</v>
      </c>
      <c r="AC466">
        <v>0</v>
      </c>
      <c r="AD466">
        <v>0</v>
      </c>
    </row>
    <row r="467" spans="1:30" x14ac:dyDescent="0.3">
      <c r="A467" t="s">
        <v>931</v>
      </c>
      <c r="B467" t="s">
        <v>1193</v>
      </c>
      <c r="C467" t="s">
        <v>807</v>
      </c>
      <c r="D467">
        <v>1</v>
      </c>
      <c r="E467">
        <v>1</v>
      </c>
      <c r="F467">
        <v>1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1</v>
      </c>
      <c r="S467">
        <v>0</v>
      </c>
      <c r="T467">
        <v>1</v>
      </c>
      <c r="U467">
        <v>0</v>
      </c>
      <c r="V467">
        <v>1</v>
      </c>
      <c r="W467">
        <v>1</v>
      </c>
      <c r="X467">
        <v>1</v>
      </c>
      <c r="Y467">
        <v>0</v>
      </c>
      <c r="Z467">
        <v>0</v>
      </c>
      <c r="AA467">
        <v>0</v>
      </c>
      <c r="AB467">
        <v>1</v>
      </c>
      <c r="AC467">
        <v>1</v>
      </c>
      <c r="AD467">
        <v>0</v>
      </c>
    </row>
    <row r="468" spans="1:30" x14ac:dyDescent="0.3">
      <c r="A468" t="s">
        <v>932</v>
      </c>
      <c r="B468" t="s">
        <v>1193</v>
      </c>
      <c r="C468" t="s">
        <v>807</v>
      </c>
      <c r="D468">
        <v>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1</v>
      </c>
      <c r="U468">
        <v>0</v>
      </c>
      <c r="V468">
        <v>1</v>
      </c>
      <c r="W468">
        <v>1</v>
      </c>
      <c r="X468">
        <v>1</v>
      </c>
      <c r="Y468">
        <v>0</v>
      </c>
      <c r="Z468">
        <v>0</v>
      </c>
      <c r="AA468">
        <v>0</v>
      </c>
      <c r="AB468">
        <v>1</v>
      </c>
      <c r="AC468">
        <v>0</v>
      </c>
      <c r="AD468">
        <v>0</v>
      </c>
    </row>
    <row r="469" spans="1:30" x14ac:dyDescent="0.3">
      <c r="A469" t="s">
        <v>933</v>
      </c>
      <c r="B469" t="s">
        <v>1193</v>
      </c>
      <c r="C469" t="s">
        <v>807</v>
      </c>
      <c r="D469">
        <v>1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</v>
      </c>
      <c r="W469">
        <v>1</v>
      </c>
      <c r="X469">
        <v>1</v>
      </c>
      <c r="Y469">
        <v>0</v>
      </c>
      <c r="Z469">
        <v>0</v>
      </c>
      <c r="AA469">
        <v>0</v>
      </c>
      <c r="AB469">
        <v>1</v>
      </c>
      <c r="AC469">
        <v>1</v>
      </c>
      <c r="AD469">
        <v>0</v>
      </c>
    </row>
    <row r="470" spans="1:30" x14ac:dyDescent="0.3">
      <c r="A470" t="s">
        <v>934</v>
      </c>
      <c r="B470" t="s">
        <v>1190</v>
      </c>
      <c r="C470" t="s">
        <v>770</v>
      </c>
      <c r="D470">
        <v>1</v>
      </c>
      <c r="E470">
        <v>1</v>
      </c>
      <c r="F470">
        <v>1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</row>
    <row r="471" spans="1:30" x14ac:dyDescent="0.3">
      <c r="A471" t="s">
        <v>935</v>
      </c>
      <c r="B471" t="s">
        <v>1191</v>
      </c>
      <c r="C471" t="s">
        <v>770</v>
      </c>
      <c r="D471">
        <v>1</v>
      </c>
      <c r="E471">
        <v>0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</v>
      </c>
      <c r="W471">
        <v>1</v>
      </c>
      <c r="X471">
        <v>0</v>
      </c>
      <c r="Y471">
        <v>0</v>
      </c>
      <c r="Z471">
        <v>0</v>
      </c>
      <c r="AA471">
        <v>0</v>
      </c>
      <c r="AB471">
        <v>1</v>
      </c>
      <c r="AC471">
        <v>0</v>
      </c>
      <c r="AD471">
        <v>0</v>
      </c>
    </row>
    <row r="472" spans="1:30" x14ac:dyDescent="0.3">
      <c r="A472" t="s">
        <v>550</v>
      </c>
      <c r="B472" t="s">
        <v>1193</v>
      </c>
      <c r="C472" t="s">
        <v>551</v>
      </c>
      <c r="D472">
        <v>1</v>
      </c>
      <c r="E472">
        <v>1</v>
      </c>
      <c r="F472">
        <v>1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</v>
      </c>
      <c r="W472">
        <v>1</v>
      </c>
      <c r="X472">
        <v>0</v>
      </c>
      <c r="Y472">
        <v>0</v>
      </c>
      <c r="Z472">
        <v>0</v>
      </c>
      <c r="AA472">
        <v>0</v>
      </c>
      <c r="AB472">
        <v>1</v>
      </c>
      <c r="AC472">
        <v>0</v>
      </c>
      <c r="AD472">
        <v>0</v>
      </c>
    </row>
    <row r="473" spans="1:30" x14ac:dyDescent="0.3">
      <c r="A473" t="s">
        <v>936</v>
      </c>
      <c r="B473" t="s">
        <v>1193</v>
      </c>
      <c r="C473" t="s">
        <v>771</v>
      </c>
      <c r="D473">
        <v>1</v>
      </c>
      <c r="E473">
        <v>1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T473">
        <v>0</v>
      </c>
      <c r="U473">
        <v>0</v>
      </c>
      <c r="V473">
        <v>0</v>
      </c>
      <c r="W473">
        <v>1</v>
      </c>
      <c r="X473">
        <v>0</v>
      </c>
      <c r="Y473">
        <v>0</v>
      </c>
      <c r="Z473">
        <v>0</v>
      </c>
      <c r="AA473">
        <v>0</v>
      </c>
      <c r="AB473">
        <v>1</v>
      </c>
      <c r="AC473">
        <v>0</v>
      </c>
      <c r="AD473">
        <v>0</v>
      </c>
    </row>
    <row r="474" spans="1:30" x14ac:dyDescent="0.3">
      <c r="A474" t="s">
        <v>492</v>
      </c>
      <c r="B474" t="s">
        <v>1193</v>
      </c>
      <c r="C474" t="s">
        <v>58</v>
      </c>
      <c r="D474">
        <v>1</v>
      </c>
      <c r="E474">
        <v>1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1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0</v>
      </c>
    </row>
    <row r="475" spans="1:30" x14ac:dyDescent="0.3">
      <c r="A475" t="s">
        <v>937</v>
      </c>
      <c r="B475" t="s">
        <v>1190</v>
      </c>
      <c r="C475" t="s">
        <v>58</v>
      </c>
      <c r="D475">
        <v>1</v>
      </c>
      <c r="E475">
        <v>1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</v>
      </c>
      <c r="S475">
        <v>0</v>
      </c>
      <c r="T475">
        <v>0</v>
      </c>
      <c r="U475">
        <v>0</v>
      </c>
      <c r="V475">
        <v>1</v>
      </c>
      <c r="W475">
        <v>1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0</v>
      </c>
    </row>
    <row r="476" spans="1:30" x14ac:dyDescent="0.3">
      <c r="A476" t="s">
        <v>938</v>
      </c>
      <c r="B476" t="s">
        <v>1193</v>
      </c>
      <c r="C476" t="s">
        <v>807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1</v>
      </c>
      <c r="W476">
        <v>1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1</v>
      </c>
      <c r="AD476">
        <v>0</v>
      </c>
    </row>
    <row r="477" spans="1:30" x14ac:dyDescent="0.3">
      <c r="A477" t="s">
        <v>939</v>
      </c>
      <c r="B477" t="s">
        <v>1190</v>
      </c>
      <c r="C477" t="s">
        <v>559</v>
      </c>
      <c r="D477">
        <v>1</v>
      </c>
      <c r="E477">
        <v>1</v>
      </c>
      <c r="F477">
        <v>1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1</v>
      </c>
      <c r="X477">
        <v>0</v>
      </c>
      <c r="Y477">
        <v>0</v>
      </c>
      <c r="Z477">
        <v>0</v>
      </c>
      <c r="AA477">
        <v>0</v>
      </c>
      <c r="AB477">
        <v>1</v>
      </c>
      <c r="AC477">
        <v>0</v>
      </c>
      <c r="AD477">
        <v>0</v>
      </c>
    </row>
    <row r="478" spans="1:30" x14ac:dyDescent="0.3">
      <c r="A478" t="s">
        <v>940</v>
      </c>
      <c r="B478" t="s">
        <v>1190</v>
      </c>
      <c r="C478" t="s">
        <v>770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1</v>
      </c>
      <c r="T478">
        <v>1</v>
      </c>
      <c r="U478">
        <v>0</v>
      </c>
      <c r="V478">
        <v>1</v>
      </c>
      <c r="W478">
        <v>1</v>
      </c>
      <c r="X478">
        <v>1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</row>
    <row r="479" spans="1:30" x14ac:dyDescent="0.3">
      <c r="A479" t="s">
        <v>941</v>
      </c>
      <c r="B479" t="s">
        <v>770</v>
      </c>
      <c r="C479" t="s">
        <v>770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</row>
    <row r="480" spans="1:30" x14ac:dyDescent="0.3">
      <c r="A480" t="s">
        <v>942</v>
      </c>
      <c r="B480" t="s">
        <v>1191</v>
      </c>
      <c r="C480" t="s">
        <v>770</v>
      </c>
      <c r="D480">
        <v>1</v>
      </c>
      <c r="E480">
        <v>1</v>
      </c>
      <c r="F480">
        <v>1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1</v>
      </c>
      <c r="W480">
        <v>1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</row>
    <row r="481" spans="1:30" x14ac:dyDescent="0.3">
      <c r="A481" t="s">
        <v>943</v>
      </c>
      <c r="B481" t="s">
        <v>770</v>
      </c>
      <c r="C481" t="s">
        <v>770</v>
      </c>
      <c r="D481">
        <v>1</v>
      </c>
      <c r="E481">
        <v>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</row>
    <row r="482" spans="1:30" x14ac:dyDescent="0.3">
      <c r="A482" t="s">
        <v>944</v>
      </c>
      <c r="B482" t="s">
        <v>1193</v>
      </c>
      <c r="C482" t="s">
        <v>807</v>
      </c>
      <c r="D482">
        <v>1</v>
      </c>
      <c r="E482">
        <v>1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1</v>
      </c>
      <c r="X482">
        <v>0</v>
      </c>
      <c r="Y482">
        <v>0</v>
      </c>
      <c r="Z482">
        <v>0</v>
      </c>
      <c r="AA482">
        <v>0</v>
      </c>
      <c r="AB482">
        <v>1</v>
      </c>
      <c r="AC482">
        <v>0</v>
      </c>
      <c r="AD482">
        <v>0</v>
      </c>
    </row>
    <row r="483" spans="1:30" x14ac:dyDescent="0.3">
      <c r="A483" t="s">
        <v>945</v>
      </c>
      <c r="B483" t="s">
        <v>770</v>
      </c>
      <c r="C483" t="s">
        <v>770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1</v>
      </c>
      <c r="Z483">
        <v>1</v>
      </c>
      <c r="AA483">
        <v>0</v>
      </c>
      <c r="AB483">
        <v>0</v>
      </c>
      <c r="AC483">
        <v>0</v>
      </c>
      <c r="AD483">
        <v>0</v>
      </c>
    </row>
    <row r="484" spans="1:30" x14ac:dyDescent="0.3">
      <c r="A484" t="s">
        <v>947</v>
      </c>
      <c r="B484" t="s">
        <v>1190</v>
      </c>
      <c r="C484" t="s">
        <v>770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1</v>
      </c>
      <c r="AA484">
        <v>0</v>
      </c>
      <c r="AB484">
        <v>0</v>
      </c>
      <c r="AC484">
        <v>0</v>
      </c>
      <c r="AD484">
        <v>0</v>
      </c>
    </row>
    <row r="485" spans="1:30" x14ac:dyDescent="0.3">
      <c r="A485" t="s">
        <v>948</v>
      </c>
      <c r="B485" t="s">
        <v>1190</v>
      </c>
      <c r="C485" t="s">
        <v>946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1</v>
      </c>
      <c r="Z485">
        <v>1</v>
      </c>
      <c r="AA485">
        <v>0</v>
      </c>
      <c r="AB485">
        <v>0</v>
      </c>
      <c r="AC485">
        <v>0</v>
      </c>
      <c r="AD485">
        <v>0</v>
      </c>
    </row>
    <row r="486" spans="1:30" x14ac:dyDescent="0.3">
      <c r="A486" t="s">
        <v>949</v>
      </c>
      <c r="B486" t="s">
        <v>1190</v>
      </c>
      <c r="C486" t="s">
        <v>946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1</v>
      </c>
      <c r="Z486">
        <v>1</v>
      </c>
      <c r="AA486">
        <v>0</v>
      </c>
      <c r="AB486">
        <v>0</v>
      </c>
      <c r="AC486">
        <v>0</v>
      </c>
      <c r="AD486">
        <v>0</v>
      </c>
    </row>
    <row r="487" spans="1:30" x14ac:dyDescent="0.3">
      <c r="A487" t="s">
        <v>950</v>
      </c>
      <c r="B487" t="s">
        <v>1192</v>
      </c>
      <c r="C487" t="s">
        <v>946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1</v>
      </c>
      <c r="Z487">
        <v>1</v>
      </c>
      <c r="AA487">
        <v>0</v>
      </c>
      <c r="AB487">
        <v>0</v>
      </c>
      <c r="AC487">
        <v>0</v>
      </c>
      <c r="AD487">
        <v>0</v>
      </c>
    </row>
    <row r="488" spans="1:30" x14ac:dyDescent="0.3">
      <c r="A488" t="s">
        <v>951</v>
      </c>
      <c r="B488" t="s">
        <v>1192</v>
      </c>
      <c r="C488" t="s">
        <v>946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1</v>
      </c>
      <c r="Z488">
        <v>1</v>
      </c>
      <c r="AA488">
        <v>0</v>
      </c>
      <c r="AB488">
        <v>0</v>
      </c>
      <c r="AC488">
        <v>0</v>
      </c>
      <c r="AD488">
        <v>0</v>
      </c>
    </row>
    <row r="489" spans="1:30" x14ac:dyDescent="0.3">
      <c r="A489" t="s">
        <v>952</v>
      </c>
      <c r="B489" t="s">
        <v>770</v>
      </c>
      <c r="C489" t="s">
        <v>770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1</v>
      </c>
      <c r="Z489">
        <v>1</v>
      </c>
      <c r="AA489">
        <v>0</v>
      </c>
      <c r="AB489">
        <v>0</v>
      </c>
      <c r="AC489">
        <v>0</v>
      </c>
      <c r="AD489">
        <v>0</v>
      </c>
    </row>
    <row r="490" spans="1:30" x14ac:dyDescent="0.3">
      <c r="A490" t="s">
        <v>953</v>
      </c>
      <c r="B490" t="s">
        <v>1192</v>
      </c>
      <c r="C490" t="s">
        <v>946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1</v>
      </c>
      <c r="Z490">
        <v>1</v>
      </c>
      <c r="AA490">
        <v>0</v>
      </c>
      <c r="AB490">
        <v>0</v>
      </c>
      <c r="AC490">
        <v>0</v>
      </c>
      <c r="AD490">
        <v>0</v>
      </c>
    </row>
    <row r="491" spans="1:30" x14ac:dyDescent="0.3">
      <c r="A491" t="s">
        <v>954</v>
      </c>
      <c r="B491" t="s">
        <v>1194</v>
      </c>
      <c r="C491" t="s">
        <v>946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1</v>
      </c>
      <c r="Z491">
        <v>1</v>
      </c>
      <c r="AA491">
        <v>0</v>
      </c>
      <c r="AB491">
        <v>0</v>
      </c>
      <c r="AC491">
        <v>0</v>
      </c>
      <c r="AD491">
        <v>0</v>
      </c>
    </row>
    <row r="492" spans="1:30" x14ac:dyDescent="0.3">
      <c r="A492" t="s">
        <v>955</v>
      </c>
      <c r="B492" t="s">
        <v>770</v>
      </c>
      <c r="C492" t="s">
        <v>770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1</v>
      </c>
      <c r="Z492">
        <v>1</v>
      </c>
      <c r="AA492">
        <v>0</v>
      </c>
      <c r="AB492">
        <v>0</v>
      </c>
      <c r="AC492">
        <v>0</v>
      </c>
      <c r="AD492">
        <v>0</v>
      </c>
    </row>
    <row r="493" spans="1:30" x14ac:dyDescent="0.3">
      <c r="A493" t="s">
        <v>956</v>
      </c>
      <c r="B493" t="s">
        <v>1192</v>
      </c>
      <c r="C493" t="s">
        <v>946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1</v>
      </c>
      <c r="Z493">
        <v>1</v>
      </c>
      <c r="AA493">
        <v>0</v>
      </c>
      <c r="AB493">
        <v>0</v>
      </c>
      <c r="AC493">
        <v>0</v>
      </c>
      <c r="AD493">
        <v>0</v>
      </c>
    </row>
    <row r="494" spans="1:30" x14ac:dyDescent="0.3">
      <c r="A494" t="s">
        <v>957</v>
      </c>
      <c r="B494" t="s">
        <v>1190</v>
      </c>
      <c r="C494" t="s">
        <v>946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1</v>
      </c>
      <c r="Z494">
        <v>1</v>
      </c>
      <c r="AA494">
        <v>0</v>
      </c>
      <c r="AB494">
        <v>0</v>
      </c>
      <c r="AC494">
        <v>0</v>
      </c>
      <c r="AD494">
        <v>0</v>
      </c>
    </row>
    <row r="495" spans="1:30" x14ac:dyDescent="0.3">
      <c r="A495" t="s">
        <v>958</v>
      </c>
      <c r="B495" t="s">
        <v>770</v>
      </c>
      <c r="C495" t="s">
        <v>770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1</v>
      </c>
      <c r="Z495">
        <v>1</v>
      </c>
      <c r="AA495">
        <v>0</v>
      </c>
      <c r="AB495">
        <v>0</v>
      </c>
      <c r="AC495">
        <v>0</v>
      </c>
      <c r="AD495">
        <v>0</v>
      </c>
    </row>
    <row r="496" spans="1:30" x14ac:dyDescent="0.3">
      <c r="A496" t="s">
        <v>959</v>
      </c>
      <c r="B496" t="s">
        <v>770</v>
      </c>
      <c r="C496" t="s">
        <v>770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1</v>
      </c>
      <c r="AA496">
        <v>0</v>
      </c>
      <c r="AB496">
        <v>0</v>
      </c>
      <c r="AC496">
        <v>0</v>
      </c>
      <c r="AD496">
        <v>0</v>
      </c>
    </row>
    <row r="497" spans="1:30" x14ac:dyDescent="0.3">
      <c r="A497" t="s">
        <v>960</v>
      </c>
      <c r="B497" t="s">
        <v>770</v>
      </c>
      <c r="C497" t="s">
        <v>770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1</v>
      </c>
      <c r="Z497">
        <v>1</v>
      </c>
      <c r="AA497">
        <v>0</v>
      </c>
      <c r="AB497">
        <v>0</v>
      </c>
      <c r="AC497">
        <v>0</v>
      </c>
      <c r="AD497">
        <v>0</v>
      </c>
    </row>
    <row r="498" spans="1:30" x14ac:dyDescent="0.3">
      <c r="A498" t="s">
        <v>961</v>
      </c>
      <c r="B498" t="s">
        <v>770</v>
      </c>
      <c r="C498" t="s">
        <v>770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1</v>
      </c>
      <c r="Z498">
        <v>1</v>
      </c>
      <c r="AA498">
        <v>0</v>
      </c>
      <c r="AB498">
        <v>0</v>
      </c>
      <c r="AC498">
        <v>0</v>
      </c>
      <c r="AD498">
        <v>0</v>
      </c>
    </row>
    <row r="499" spans="1:30" x14ac:dyDescent="0.3">
      <c r="A499" t="s">
        <v>962</v>
      </c>
      <c r="B499" t="s">
        <v>770</v>
      </c>
      <c r="C499" t="s">
        <v>770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1</v>
      </c>
      <c r="AB499">
        <v>0</v>
      </c>
      <c r="AC499">
        <v>0</v>
      </c>
      <c r="AD499">
        <v>0</v>
      </c>
    </row>
    <row r="500" spans="1:30" x14ac:dyDescent="0.3">
      <c r="A500" t="s">
        <v>963</v>
      </c>
      <c r="B500" t="s">
        <v>770</v>
      </c>
      <c r="C500" t="s">
        <v>770</v>
      </c>
      <c r="D500">
        <v>0</v>
      </c>
      <c r="E500">
        <v>1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1</v>
      </c>
      <c r="Z500">
        <v>1</v>
      </c>
      <c r="AA500">
        <v>0</v>
      </c>
      <c r="AB500">
        <v>0</v>
      </c>
      <c r="AC500">
        <v>0</v>
      </c>
      <c r="AD500">
        <v>0</v>
      </c>
    </row>
    <row r="501" spans="1:30" x14ac:dyDescent="0.3">
      <c r="A501" t="s">
        <v>964</v>
      </c>
      <c r="B501" t="s">
        <v>1192</v>
      </c>
      <c r="C501" t="s">
        <v>770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1</v>
      </c>
      <c r="Z501">
        <v>1</v>
      </c>
      <c r="AA501">
        <v>0</v>
      </c>
      <c r="AB501">
        <v>0</v>
      </c>
      <c r="AC501">
        <v>0</v>
      </c>
      <c r="AD501">
        <v>0</v>
      </c>
    </row>
    <row r="502" spans="1:30" x14ac:dyDescent="0.3">
      <c r="A502" t="s">
        <v>965</v>
      </c>
      <c r="B502" t="s">
        <v>1193</v>
      </c>
      <c r="C502" t="s">
        <v>770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1</v>
      </c>
      <c r="AA502">
        <v>0</v>
      </c>
      <c r="AB502">
        <v>0</v>
      </c>
      <c r="AC502">
        <v>0</v>
      </c>
      <c r="AD502">
        <v>0</v>
      </c>
    </row>
    <row r="503" spans="1:30" x14ac:dyDescent="0.3">
      <c r="A503" t="s">
        <v>966</v>
      </c>
      <c r="B503" t="s">
        <v>1194</v>
      </c>
      <c r="C503" t="s">
        <v>770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1</v>
      </c>
      <c r="Z503">
        <v>1</v>
      </c>
      <c r="AA503">
        <v>0</v>
      </c>
      <c r="AB503">
        <v>0</v>
      </c>
      <c r="AC503">
        <v>0</v>
      </c>
      <c r="AD503">
        <v>0</v>
      </c>
    </row>
    <row r="504" spans="1:30" x14ac:dyDescent="0.3">
      <c r="A504" t="s">
        <v>967</v>
      </c>
      <c r="B504" t="s">
        <v>1193</v>
      </c>
      <c r="C504" t="s">
        <v>946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1</v>
      </c>
      <c r="AA504">
        <v>0</v>
      </c>
      <c r="AB504">
        <v>0</v>
      </c>
      <c r="AC504">
        <v>0</v>
      </c>
      <c r="AD504">
        <v>0</v>
      </c>
    </row>
    <row r="505" spans="1:30" x14ac:dyDescent="0.3">
      <c r="A505" t="s">
        <v>968</v>
      </c>
      <c r="B505" t="s">
        <v>1192</v>
      </c>
      <c r="C505" t="s">
        <v>946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  <c r="AA505">
        <v>0</v>
      </c>
      <c r="AB505">
        <v>0</v>
      </c>
      <c r="AC505">
        <v>0</v>
      </c>
      <c r="AD505">
        <v>0</v>
      </c>
    </row>
    <row r="506" spans="1:30" x14ac:dyDescent="0.3">
      <c r="A506" t="s">
        <v>969</v>
      </c>
      <c r="B506" t="s">
        <v>770</v>
      </c>
      <c r="C506" t="s">
        <v>770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1</v>
      </c>
      <c r="AA506">
        <v>0</v>
      </c>
      <c r="AB506">
        <v>0</v>
      </c>
      <c r="AC506">
        <v>0</v>
      </c>
      <c r="AD506">
        <v>0</v>
      </c>
    </row>
    <row r="507" spans="1:30" x14ac:dyDescent="0.3">
      <c r="A507" t="s">
        <v>970</v>
      </c>
      <c r="B507" t="s">
        <v>1193</v>
      </c>
      <c r="C507" t="s">
        <v>946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1</v>
      </c>
      <c r="AA507">
        <v>0</v>
      </c>
      <c r="AB507">
        <v>0</v>
      </c>
      <c r="AC507">
        <v>0</v>
      </c>
      <c r="AD507">
        <v>0</v>
      </c>
    </row>
    <row r="508" spans="1:30" x14ac:dyDescent="0.3">
      <c r="A508" t="s">
        <v>971</v>
      </c>
      <c r="B508" t="s">
        <v>1193</v>
      </c>
      <c r="C508" t="s">
        <v>946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1</v>
      </c>
      <c r="Z508">
        <v>1</v>
      </c>
      <c r="AA508">
        <v>0</v>
      </c>
      <c r="AB508">
        <v>0</v>
      </c>
      <c r="AC508">
        <v>0</v>
      </c>
      <c r="AD508">
        <v>0</v>
      </c>
    </row>
    <row r="509" spans="1:30" x14ac:dyDescent="0.3">
      <c r="A509" t="s">
        <v>972</v>
      </c>
      <c r="B509" t="s">
        <v>1192</v>
      </c>
      <c r="C509" t="s">
        <v>946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1</v>
      </c>
      <c r="Z509">
        <v>1</v>
      </c>
      <c r="AA509">
        <v>0</v>
      </c>
      <c r="AB509">
        <v>0</v>
      </c>
      <c r="AC509">
        <v>0</v>
      </c>
      <c r="AD509">
        <v>0</v>
      </c>
    </row>
    <row r="510" spans="1:30" x14ac:dyDescent="0.3">
      <c r="A510" t="s">
        <v>973</v>
      </c>
      <c r="B510" t="s">
        <v>1196</v>
      </c>
      <c r="C510" t="s">
        <v>770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1</v>
      </c>
      <c r="Z510">
        <v>1</v>
      </c>
      <c r="AA510">
        <v>0</v>
      </c>
      <c r="AB510">
        <v>0</v>
      </c>
      <c r="AC510">
        <v>0</v>
      </c>
      <c r="AD510">
        <v>0</v>
      </c>
    </row>
    <row r="511" spans="1:30" x14ac:dyDescent="0.3">
      <c r="A511" t="s">
        <v>974</v>
      </c>
      <c r="B511" t="s">
        <v>770</v>
      </c>
      <c r="C511" t="s">
        <v>770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</row>
    <row r="512" spans="1:30" x14ac:dyDescent="0.3">
      <c r="A512" t="s">
        <v>975</v>
      </c>
      <c r="B512" t="s">
        <v>1190</v>
      </c>
      <c r="C512" t="s">
        <v>946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1</v>
      </c>
      <c r="Z512">
        <v>1</v>
      </c>
      <c r="AA512">
        <v>0</v>
      </c>
      <c r="AB512">
        <v>0</v>
      </c>
      <c r="AC512">
        <v>0</v>
      </c>
      <c r="AD512">
        <v>0</v>
      </c>
    </row>
    <row r="513" spans="1:30" x14ac:dyDescent="0.3">
      <c r="A513" t="s">
        <v>976</v>
      </c>
      <c r="B513" t="s">
        <v>1197</v>
      </c>
      <c r="C513" t="s">
        <v>770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1</v>
      </c>
      <c r="Z513">
        <v>1</v>
      </c>
      <c r="AA513">
        <v>0</v>
      </c>
      <c r="AB513">
        <v>0</v>
      </c>
      <c r="AC513">
        <v>0</v>
      </c>
      <c r="AD513">
        <v>0</v>
      </c>
    </row>
    <row r="514" spans="1:30" x14ac:dyDescent="0.3">
      <c r="A514" t="s">
        <v>977</v>
      </c>
      <c r="B514" t="s">
        <v>1197</v>
      </c>
      <c r="C514" t="s">
        <v>770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1</v>
      </c>
      <c r="Z514">
        <v>1</v>
      </c>
      <c r="AA514">
        <v>0</v>
      </c>
      <c r="AB514">
        <v>0</v>
      </c>
      <c r="AC514">
        <v>0</v>
      </c>
      <c r="AD514">
        <v>0</v>
      </c>
    </row>
    <row r="515" spans="1:30" x14ac:dyDescent="0.3">
      <c r="A515" t="s">
        <v>978</v>
      </c>
      <c r="B515" t="s">
        <v>770</v>
      </c>
      <c r="C515" t="s">
        <v>770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</row>
    <row r="516" spans="1:30" x14ac:dyDescent="0.3">
      <c r="A516" t="s">
        <v>979</v>
      </c>
      <c r="B516" t="s">
        <v>770</v>
      </c>
      <c r="C516" t="s">
        <v>770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</row>
    <row r="517" spans="1:30" x14ac:dyDescent="0.3">
      <c r="A517" t="s">
        <v>980</v>
      </c>
      <c r="B517" t="s">
        <v>770</v>
      </c>
      <c r="C517" t="s">
        <v>770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</row>
    <row r="518" spans="1:30" x14ac:dyDescent="0.3">
      <c r="A518" t="s">
        <v>981</v>
      </c>
      <c r="B518" t="s">
        <v>1190</v>
      </c>
      <c r="C518" t="s">
        <v>770</v>
      </c>
      <c r="D518">
        <v>1</v>
      </c>
      <c r="E518">
        <v>1</v>
      </c>
      <c r="F518">
        <v>1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0</v>
      </c>
      <c r="T518">
        <v>0</v>
      </c>
      <c r="U518">
        <v>0</v>
      </c>
      <c r="V518">
        <v>1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1</v>
      </c>
      <c r="AC518">
        <v>0</v>
      </c>
      <c r="AD518">
        <v>0</v>
      </c>
    </row>
    <row r="519" spans="1:30" x14ac:dyDescent="0.3">
      <c r="A519" t="s">
        <v>982</v>
      </c>
      <c r="B519" t="s">
        <v>1197</v>
      </c>
      <c r="C519" t="s">
        <v>770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</row>
    <row r="520" spans="1:30" x14ac:dyDescent="0.3">
      <c r="A520" t="s">
        <v>983</v>
      </c>
      <c r="B520" t="s">
        <v>1196</v>
      </c>
      <c r="C520" t="s">
        <v>770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</row>
    <row r="521" spans="1:30" x14ac:dyDescent="0.3">
      <c r="A521" t="s">
        <v>984</v>
      </c>
      <c r="B521" t="s">
        <v>770</v>
      </c>
      <c r="C521" t="s">
        <v>770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</row>
    <row r="522" spans="1:30" x14ac:dyDescent="0.3">
      <c r="A522" t="s">
        <v>985</v>
      </c>
      <c r="B522" t="s">
        <v>770</v>
      </c>
      <c r="C522" t="s">
        <v>770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</row>
    <row r="523" spans="1:30" x14ac:dyDescent="0.3">
      <c r="A523" t="s">
        <v>986</v>
      </c>
      <c r="B523" t="s">
        <v>770</v>
      </c>
      <c r="C523" t="s">
        <v>770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</row>
    <row r="524" spans="1:30" x14ac:dyDescent="0.3">
      <c r="A524" t="s">
        <v>987</v>
      </c>
      <c r="B524" t="s">
        <v>770</v>
      </c>
      <c r="C524" t="s">
        <v>770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</row>
    <row r="525" spans="1:30" x14ac:dyDescent="0.3">
      <c r="A525" t="s">
        <v>988</v>
      </c>
      <c r="B525" t="s">
        <v>770</v>
      </c>
      <c r="C525" t="s">
        <v>770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</row>
    <row r="526" spans="1:30" x14ac:dyDescent="0.3">
      <c r="A526" t="s">
        <v>989</v>
      </c>
      <c r="B526" t="s">
        <v>770</v>
      </c>
      <c r="C526" t="s">
        <v>770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</row>
    <row r="527" spans="1:30" x14ac:dyDescent="0.3">
      <c r="A527" t="s">
        <v>990</v>
      </c>
      <c r="B527" t="s">
        <v>770</v>
      </c>
      <c r="C527" t="s">
        <v>770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</row>
    <row r="528" spans="1:30" x14ac:dyDescent="0.3">
      <c r="A528" t="s">
        <v>991</v>
      </c>
      <c r="B528" t="s">
        <v>770</v>
      </c>
      <c r="C528" t="s">
        <v>770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</row>
    <row r="529" spans="1:30" x14ac:dyDescent="0.3">
      <c r="A529" t="s">
        <v>992</v>
      </c>
      <c r="B529" t="s">
        <v>770</v>
      </c>
      <c r="C529" t="s">
        <v>770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</row>
    <row r="530" spans="1:30" x14ac:dyDescent="0.3">
      <c r="A530" t="s">
        <v>993</v>
      </c>
      <c r="B530" t="s">
        <v>770</v>
      </c>
      <c r="C530" t="s">
        <v>770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</row>
    <row r="531" spans="1:30" x14ac:dyDescent="0.3">
      <c r="A531" t="s">
        <v>994</v>
      </c>
      <c r="B531" t="s">
        <v>770</v>
      </c>
      <c r="C531" t="s">
        <v>770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</row>
    <row r="532" spans="1:30" x14ac:dyDescent="0.3">
      <c r="A532" t="s">
        <v>995</v>
      </c>
      <c r="B532" t="s">
        <v>1197</v>
      </c>
      <c r="C532" t="s">
        <v>770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</row>
    <row r="533" spans="1:30" x14ac:dyDescent="0.3">
      <c r="A533" t="s">
        <v>996</v>
      </c>
      <c r="B533" t="s">
        <v>1197</v>
      </c>
      <c r="C533" t="s">
        <v>770</v>
      </c>
      <c r="D533">
        <v>1</v>
      </c>
      <c r="E533">
        <v>0</v>
      </c>
      <c r="F533">
        <v>1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1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</row>
    <row r="534" spans="1:30" x14ac:dyDescent="0.3">
      <c r="A534" t="s">
        <v>997</v>
      </c>
      <c r="B534" t="s">
        <v>1196</v>
      </c>
      <c r="C534" t="s">
        <v>770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</row>
    <row r="535" spans="1:30" x14ac:dyDescent="0.3">
      <c r="A535" t="s">
        <v>998</v>
      </c>
      <c r="B535" t="s">
        <v>1197</v>
      </c>
      <c r="C535" t="s">
        <v>770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</row>
    <row r="536" spans="1:30" x14ac:dyDescent="0.3">
      <c r="A536" t="s">
        <v>999</v>
      </c>
      <c r="B536" t="s">
        <v>770</v>
      </c>
      <c r="C536" t="s">
        <v>770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</row>
    <row r="537" spans="1:30" x14ac:dyDescent="0.3">
      <c r="A537" t="s">
        <v>1000</v>
      </c>
      <c r="B537" t="s">
        <v>1191</v>
      </c>
      <c r="C537" t="s">
        <v>770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</row>
    <row r="538" spans="1:30" x14ac:dyDescent="0.3">
      <c r="A538" t="s">
        <v>1001</v>
      </c>
      <c r="B538" t="s">
        <v>770</v>
      </c>
      <c r="C538" t="s">
        <v>770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</row>
    <row r="539" spans="1:30" x14ac:dyDescent="0.3">
      <c r="A539" t="s">
        <v>1002</v>
      </c>
      <c r="B539" t="s">
        <v>770</v>
      </c>
      <c r="C539" t="s">
        <v>770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</row>
    <row r="540" spans="1:30" x14ac:dyDescent="0.3">
      <c r="A540" t="s">
        <v>1003</v>
      </c>
      <c r="B540" t="s">
        <v>770</v>
      </c>
      <c r="C540" t="s">
        <v>770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</row>
    <row r="541" spans="1:30" x14ac:dyDescent="0.3">
      <c r="A541" t="s">
        <v>1005</v>
      </c>
      <c r="B541" t="s">
        <v>770</v>
      </c>
      <c r="C541" t="s">
        <v>770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</row>
    <row r="542" spans="1:30" x14ac:dyDescent="0.3">
      <c r="A542" t="s">
        <v>1006</v>
      </c>
      <c r="B542" t="s">
        <v>770</v>
      </c>
      <c r="C542" t="s">
        <v>770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</row>
    <row r="543" spans="1:30" x14ac:dyDescent="0.3">
      <c r="A543" t="s">
        <v>1007</v>
      </c>
      <c r="B543" t="s">
        <v>770</v>
      </c>
      <c r="C543" t="s">
        <v>770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</row>
    <row r="544" spans="1:30" x14ac:dyDescent="0.3">
      <c r="A544" t="s">
        <v>1008</v>
      </c>
      <c r="B544" t="s">
        <v>770</v>
      </c>
      <c r="C544" t="s">
        <v>770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</row>
    <row r="545" spans="1:30" x14ac:dyDescent="0.3">
      <c r="A545" t="s">
        <v>1009</v>
      </c>
      <c r="B545" t="s">
        <v>770</v>
      </c>
      <c r="C545" t="s">
        <v>770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</row>
    <row r="546" spans="1:30" x14ac:dyDescent="0.3">
      <c r="A546" t="s">
        <v>1010</v>
      </c>
      <c r="B546" t="s">
        <v>770</v>
      </c>
      <c r="C546" t="s">
        <v>770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</row>
    <row r="547" spans="1:30" x14ac:dyDescent="0.3">
      <c r="A547" t="s">
        <v>1012</v>
      </c>
      <c r="B547" t="s">
        <v>770</v>
      </c>
      <c r="C547" t="s">
        <v>770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</row>
    <row r="548" spans="1:30" x14ac:dyDescent="0.3">
      <c r="A548" t="s">
        <v>1013</v>
      </c>
      <c r="B548" t="s">
        <v>770</v>
      </c>
      <c r="C548" t="s">
        <v>770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</row>
    <row r="549" spans="1:30" x14ac:dyDescent="0.3">
      <c r="A549" t="s">
        <v>1014</v>
      </c>
      <c r="B549" t="s">
        <v>770</v>
      </c>
      <c r="C549" t="s">
        <v>770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</row>
    <row r="550" spans="1:30" x14ac:dyDescent="0.3">
      <c r="A550" t="s">
        <v>1015</v>
      </c>
      <c r="B550" t="s">
        <v>770</v>
      </c>
      <c r="C550" t="s">
        <v>770</v>
      </c>
      <c r="D550">
        <v>1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1</v>
      </c>
      <c r="S550">
        <v>1</v>
      </c>
      <c r="T550">
        <v>1</v>
      </c>
      <c r="U550">
        <v>0</v>
      </c>
      <c r="V550">
        <v>1</v>
      </c>
      <c r="W550">
        <v>1</v>
      </c>
      <c r="X550">
        <v>0</v>
      </c>
      <c r="Y550">
        <v>0</v>
      </c>
      <c r="Z550">
        <v>0</v>
      </c>
      <c r="AA550">
        <v>0</v>
      </c>
      <c r="AB550">
        <v>1</v>
      </c>
      <c r="AC550">
        <v>0</v>
      </c>
      <c r="AD550">
        <v>0</v>
      </c>
    </row>
    <row r="551" spans="1:30" x14ac:dyDescent="0.3">
      <c r="A551" t="s">
        <v>1016</v>
      </c>
      <c r="B551" t="s">
        <v>770</v>
      </c>
      <c r="C551" t="s">
        <v>770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</row>
    <row r="552" spans="1:30" x14ac:dyDescent="0.3">
      <c r="A552" t="s">
        <v>1017</v>
      </c>
      <c r="B552" t="s">
        <v>770</v>
      </c>
      <c r="C552" t="s">
        <v>770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</row>
    <row r="553" spans="1:30" x14ac:dyDescent="0.3">
      <c r="A553" t="s">
        <v>1018</v>
      </c>
      <c r="B553" t="s">
        <v>770</v>
      </c>
      <c r="C553" t="s">
        <v>770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</row>
    <row r="554" spans="1:30" x14ac:dyDescent="0.3">
      <c r="A554" t="s">
        <v>1019</v>
      </c>
      <c r="B554" t="s">
        <v>770</v>
      </c>
      <c r="C554" t="s">
        <v>770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</row>
    <row r="555" spans="1:30" x14ac:dyDescent="0.3">
      <c r="A555" t="s">
        <v>1020</v>
      </c>
      <c r="B555" t="s">
        <v>770</v>
      </c>
      <c r="C555" t="s">
        <v>770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</row>
    <row r="556" spans="1:30" x14ac:dyDescent="0.3">
      <c r="A556" t="s">
        <v>1021</v>
      </c>
      <c r="B556" t="s">
        <v>1191</v>
      </c>
      <c r="C556" t="s">
        <v>770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</row>
    <row r="557" spans="1:30" x14ac:dyDescent="0.3">
      <c r="A557" t="s">
        <v>1022</v>
      </c>
      <c r="B557" t="s">
        <v>770</v>
      </c>
      <c r="C557" t="s">
        <v>770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</row>
    <row r="558" spans="1:30" x14ac:dyDescent="0.3">
      <c r="A558" t="s">
        <v>1023</v>
      </c>
      <c r="B558" t="s">
        <v>770</v>
      </c>
      <c r="C558" t="s">
        <v>770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</row>
    <row r="559" spans="1:30" x14ac:dyDescent="0.3">
      <c r="A559" t="s">
        <v>1024</v>
      </c>
      <c r="B559" t="s">
        <v>770</v>
      </c>
      <c r="C559" t="s">
        <v>770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</row>
    <row r="560" spans="1:30" x14ac:dyDescent="0.3">
      <c r="A560" t="s">
        <v>1025</v>
      </c>
      <c r="B560" t="s">
        <v>1190</v>
      </c>
      <c r="C560" t="s">
        <v>770</v>
      </c>
      <c r="D560">
        <v>1</v>
      </c>
      <c r="E560">
        <v>1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1</v>
      </c>
      <c r="S560">
        <v>1</v>
      </c>
      <c r="T560">
        <v>1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</row>
    <row r="561" spans="1:30" x14ac:dyDescent="0.3">
      <c r="A561" t="s">
        <v>1026</v>
      </c>
      <c r="B561" t="s">
        <v>770</v>
      </c>
      <c r="C561" t="s">
        <v>770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0" x14ac:dyDescent="0.3">
      <c r="A562" t="s">
        <v>1027</v>
      </c>
      <c r="B562" t="s">
        <v>770</v>
      </c>
      <c r="C562" t="s">
        <v>770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0" x14ac:dyDescent="0.3">
      <c r="A563" t="s">
        <v>1028</v>
      </c>
      <c r="B563" t="s">
        <v>770</v>
      </c>
      <c r="C563" t="s">
        <v>770</v>
      </c>
      <c r="D563">
        <v>1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0" x14ac:dyDescent="0.3">
      <c r="A564" t="s">
        <v>1029</v>
      </c>
      <c r="B564" t="s">
        <v>1190</v>
      </c>
      <c r="C564" t="s">
        <v>770</v>
      </c>
      <c r="D564">
        <v>1</v>
      </c>
      <c r="E564">
        <v>0</v>
      </c>
      <c r="F564">
        <v>1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</row>
    <row r="565" spans="1:30" x14ac:dyDescent="0.3">
      <c r="A565" t="s">
        <v>1030</v>
      </c>
      <c r="B565" t="s">
        <v>770</v>
      </c>
      <c r="C565" t="s">
        <v>770</v>
      </c>
      <c r="D565">
        <v>1</v>
      </c>
      <c r="E565">
        <v>1</v>
      </c>
      <c r="F565">
        <v>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</row>
    <row r="566" spans="1:30" x14ac:dyDescent="0.3">
      <c r="A566" t="s">
        <v>1031</v>
      </c>
      <c r="B566" t="s">
        <v>1190</v>
      </c>
      <c r="C566" t="s">
        <v>771</v>
      </c>
      <c r="D566">
        <v>1</v>
      </c>
      <c r="E566">
        <v>0</v>
      </c>
      <c r="F566">
        <v>1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1</v>
      </c>
      <c r="X566">
        <v>1</v>
      </c>
      <c r="Y566">
        <v>0</v>
      </c>
      <c r="Z566">
        <v>0</v>
      </c>
      <c r="AA566">
        <v>0</v>
      </c>
      <c r="AB566">
        <v>1</v>
      </c>
      <c r="AC566">
        <v>0</v>
      </c>
      <c r="AD566">
        <v>0</v>
      </c>
    </row>
    <row r="567" spans="1:30" x14ac:dyDescent="0.3">
      <c r="A567" t="s">
        <v>1032</v>
      </c>
      <c r="B567" t="s">
        <v>1190</v>
      </c>
      <c r="C567" t="s">
        <v>770</v>
      </c>
      <c r="D567">
        <v>1</v>
      </c>
      <c r="E567">
        <v>0</v>
      </c>
      <c r="F567">
        <v>1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</row>
    <row r="568" spans="1:30" x14ac:dyDescent="0.3">
      <c r="A568" t="s">
        <v>1033</v>
      </c>
      <c r="B568" t="s">
        <v>770</v>
      </c>
      <c r="C568" t="s">
        <v>770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</row>
    <row r="569" spans="1:30" x14ac:dyDescent="0.3">
      <c r="A569" t="s">
        <v>1034</v>
      </c>
      <c r="B569" t="s">
        <v>1190</v>
      </c>
      <c r="C569" t="s">
        <v>770</v>
      </c>
      <c r="D569">
        <v>1</v>
      </c>
      <c r="E569">
        <v>1</v>
      </c>
      <c r="F569">
        <v>1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1</v>
      </c>
      <c r="X569">
        <v>1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</row>
    <row r="570" spans="1:30" x14ac:dyDescent="0.3">
      <c r="A570" t="s">
        <v>1035</v>
      </c>
      <c r="B570" t="s">
        <v>1195</v>
      </c>
      <c r="C570" t="s">
        <v>770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30" x14ac:dyDescent="0.3">
      <c r="A571" t="s">
        <v>1036</v>
      </c>
      <c r="B571" t="s">
        <v>1190</v>
      </c>
      <c r="C571" t="s">
        <v>770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</row>
    <row r="572" spans="1:30" x14ac:dyDescent="0.3">
      <c r="A572" t="s">
        <v>1037</v>
      </c>
      <c r="B572" t="s">
        <v>1197</v>
      </c>
      <c r="C572" t="s">
        <v>770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</row>
    <row r="573" spans="1:30" x14ac:dyDescent="0.3">
      <c r="A573" t="s">
        <v>754</v>
      </c>
      <c r="B573" t="s">
        <v>1190</v>
      </c>
      <c r="C573" t="s">
        <v>770</v>
      </c>
      <c r="D573">
        <v>1</v>
      </c>
      <c r="E573">
        <v>0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</row>
    <row r="574" spans="1:30" x14ac:dyDescent="0.3">
      <c r="A574" t="s">
        <v>1038</v>
      </c>
      <c r="B574" t="s">
        <v>1197</v>
      </c>
      <c r="C574" t="s">
        <v>770</v>
      </c>
      <c r="D574">
        <v>1</v>
      </c>
      <c r="E574">
        <v>0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1</v>
      </c>
      <c r="W574">
        <v>1</v>
      </c>
      <c r="X574">
        <v>1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</row>
    <row r="575" spans="1:30" x14ac:dyDescent="0.3">
      <c r="A575" t="s">
        <v>1039</v>
      </c>
      <c r="B575" t="s">
        <v>770</v>
      </c>
      <c r="C575" t="s">
        <v>770</v>
      </c>
      <c r="D575">
        <v>1</v>
      </c>
      <c r="E575">
        <v>0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</row>
    <row r="576" spans="1:30" x14ac:dyDescent="0.3">
      <c r="A576" t="s">
        <v>1040</v>
      </c>
      <c r="B576" t="s">
        <v>1190</v>
      </c>
      <c r="C576" t="s">
        <v>770</v>
      </c>
      <c r="D576">
        <v>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</row>
    <row r="577" spans="1:30" x14ac:dyDescent="0.3">
      <c r="A577" t="s">
        <v>1041</v>
      </c>
      <c r="B577" t="s">
        <v>1190</v>
      </c>
      <c r="C577" t="s">
        <v>58</v>
      </c>
      <c r="D577">
        <v>1</v>
      </c>
      <c r="E577">
        <v>0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1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</row>
    <row r="578" spans="1:30" x14ac:dyDescent="0.3">
      <c r="A578" t="s">
        <v>1042</v>
      </c>
      <c r="B578" t="s">
        <v>1191</v>
      </c>
      <c r="C578" t="s">
        <v>770</v>
      </c>
      <c r="D578">
        <v>1</v>
      </c>
      <c r="E578">
        <v>1</v>
      </c>
      <c r="F578">
        <v>1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1</v>
      </c>
      <c r="W578">
        <v>1</v>
      </c>
      <c r="X578">
        <v>1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0</v>
      </c>
    </row>
    <row r="579" spans="1:30" x14ac:dyDescent="0.3">
      <c r="A579" t="s">
        <v>1043</v>
      </c>
      <c r="B579" t="s">
        <v>1194</v>
      </c>
      <c r="C579" t="s">
        <v>770</v>
      </c>
      <c r="D579">
        <v>1</v>
      </c>
      <c r="E579">
        <v>0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1</v>
      </c>
      <c r="U579">
        <v>0</v>
      </c>
      <c r="V579">
        <v>0</v>
      </c>
      <c r="W579">
        <v>1</v>
      </c>
      <c r="X579">
        <v>1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</row>
    <row r="580" spans="1:30" x14ac:dyDescent="0.3">
      <c r="A580" t="s">
        <v>1044</v>
      </c>
      <c r="B580" t="s">
        <v>770</v>
      </c>
      <c r="C580" t="s">
        <v>770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</row>
    <row r="581" spans="1:30" x14ac:dyDescent="0.3">
      <c r="A581" t="s">
        <v>1045</v>
      </c>
      <c r="B581" t="s">
        <v>770</v>
      </c>
      <c r="C581" t="s">
        <v>770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</row>
    <row r="582" spans="1:30" x14ac:dyDescent="0.3">
      <c r="A582" t="s">
        <v>1046</v>
      </c>
      <c r="B582" t="s">
        <v>770</v>
      </c>
      <c r="C582" t="s">
        <v>770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</row>
    <row r="583" spans="1:30" x14ac:dyDescent="0.3">
      <c r="A583" t="s">
        <v>1047</v>
      </c>
      <c r="B583" t="s">
        <v>770</v>
      </c>
      <c r="C583" t="s">
        <v>770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</row>
    <row r="584" spans="1:30" x14ac:dyDescent="0.3">
      <c r="A584" t="s">
        <v>1048</v>
      </c>
      <c r="B584" t="s">
        <v>1192</v>
      </c>
      <c r="C584" t="s">
        <v>946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1</v>
      </c>
      <c r="Z584">
        <v>1</v>
      </c>
      <c r="AA584">
        <v>0</v>
      </c>
      <c r="AB584">
        <v>0</v>
      </c>
      <c r="AC584">
        <v>0</v>
      </c>
      <c r="AD584">
        <v>0</v>
      </c>
    </row>
    <row r="585" spans="1:30" x14ac:dyDescent="0.3">
      <c r="A585" t="s">
        <v>1049</v>
      </c>
      <c r="B585" t="s">
        <v>770</v>
      </c>
      <c r="C585" t="s">
        <v>770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1</v>
      </c>
      <c r="Z585">
        <v>1</v>
      </c>
      <c r="AA585">
        <v>0</v>
      </c>
      <c r="AB585">
        <v>0</v>
      </c>
      <c r="AC585">
        <v>0</v>
      </c>
      <c r="AD585">
        <v>0</v>
      </c>
    </row>
    <row r="586" spans="1:30" x14ac:dyDescent="0.3">
      <c r="A586" t="s">
        <v>1050</v>
      </c>
      <c r="B586" t="s">
        <v>770</v>
      </c>
      <c r="C586" t="s">
        <v>770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1</v>
      </c>
      <c r="Z586">
        <v>1</v>
      </c>
      <c r="AA586">
        <v>0</v>
      </c>
      <c r="AB586">
        <v>0</v>
      </c>
      <c r="AC586">
        <v>0</v>
      </c>
      <c r="AD586">
        <v>0</v>
      </c>
    </row>
    <row r="587" spans="1:30" x14ac:dyDescent="0.3">
      <c r="A587" t="s">
        <v>1051</v>
      </c>
      <c r="B587" t="s">
        <v>1192</v>
      </c>
      <c r="C587" t="s">
        <v>946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1</v>
      </c>
      <c r="Z587">
        <v>1</v>
      </c>
      <c r="AA587">
        <v>0</v>
      </c>
      <c r="AB587">
        <v>0</v>
      </c>
      <c r="AC587">
        <v>0</v>
      </c>
      <c r="AD587">
        <v>0</v>
      </c>
    </row>
    <row r="588" spans="1:30" x14ac:dyDescent="0.3">
      <c r="A588" t="s">
        <v>1052</v>
      </c>
      <c r="B588" t="s">
        <v>770</v>
      </c>
      <c r="C588" t="s">
        <v>770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1</v>
      </c>
      <c r="Z588">
        <v>1</v>
      </c>
      <c r="AA588">
        <v>0</v>
      </c>
      <c r="AB588">
        <v>0</v>
      </c>
      <c r="AC588">
        <v>0</v>
      </c>
      <c r="AD588">
        <v>0</v>
      </c>
    </row>
    <row r="589" spans="1:30" x14ac:dyDescent="0.3">
      <c r="A589" t="s">
        <v>1053</v>
      </c>
      <c r="B589" t="s">
        <v>1193</v>
      </c>
      <c r="C589" t="s">
        <v>946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  <c r="AA589">
        <v>0</v>
      </c>
      <c r="AB589">
        <v>0</v>
      </c>
      <c r="AC589">
        <v>0</v>
      </c>
      <c r="AD589">
        <v>0</v>
      </c>
    </row>
    <row r="590" spans="1:30" x14ac:dyDescent="0.3">
      <c r="A590" t="s">
        <v>1054</v>
      </c>
      <c r="B590" t="s">
        <v>770</v>
      </c>
      <c r="C590" t="s">
        <v>770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1</v>
      </c>
      <c r="AA590">
        <v>0</v>
      </c>
      <c r="AB590">
        <v>0</v>
      </c>
      <c r="AC590">
        <v>0</v>
      </c>
      <c r="AD590">
        <v>0</v>
      </c>
    </row>
    <row r="591" spans="1:30" x14ac:dyDescent="0.3">
      <c r="A591" t="s">
        <v>1055</v>
      </c>
      <c r="B591" t="s">
        <v>1193</v>
      </c>
      <c r="C591" t="s">
        <v>946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1</v>
      </c>
      <c r="AA591">
        <v>0</v>
      </c>
      <c r="AB591">
        <v>0</v>
      </c>
      <c r="AC591">
        <v>0</v>
      </c>
      <c r="AD591">
        <v>0</v>
      </c>
    </row>
    <row r="592" spans="1:30" x14ac:dyDescent="0.3">
      <c r="A592" t="s">
        <v>1056</v>
      </c>
      <c r="B592" t="s">
        <v>770</v>
      </c>
      <c r="C592" t="s">
        <v>770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1</v>
      </c>
      <c r="AA592">
        <v>0</v>
      </c>
      <c r="AB592">
        <v>0</v>
      </c>
      <c r="AC592">
        <v>0</v>
      </c>
      <c r="AD592">
        <v>0</v>
      </c>
    </row>
    <row r="593" spans="1:30" x14ac:dyDescent="0.3">
      <c r="A593" t="s">
        <v>1011</v>
      </c>
      <c r="B593" t="s">
        <v>770</v>
      </c>
      <c r="C593" t="s">
        <v>770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</row>
    <row r="594" spans="1:30" x14ac:dyDescent="0.3">
      <c r="A594" t="s">
        <v>1057</v>
      </c>
      <c r="B594" t="s">
        <v>1193</v>
      </c>
      <c r="C594" t="s">
        <v>946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1</v>
      </c>
      <c r="AB594">
        <v>0</v>
      </c>
      <c r="AC594">
        <v>0</v>
      </c>
      <c r="AD594">
        <v>0</v>
      </c>
    </row>
    <row r="595" spans="1:30" x14ac:dyDescent="0.3">
      <c r="A595" t="s">
        <v>1058</v>
      </c>
      <c r="B595" t="s">
        <v>770</v>
      </c>
      <c r="C595" t="s">
        <v>770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</row>
    <row r="596" spans="1:30" x14ac:dyDescent="0.3">
      <c r="A596" t="s">
        <v>1059</v>
      </c>
      <c r="B596" t="s">
        <v>770</v>
      </c>
      <c r="C596" t="s">
        <v>770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</row>
    <row r="597" spans="1:30" x14ac:dyDescent="0.3">
      <c r="A597" t="s">
        <v>1060</v>
      </c>
      <c r="B597" t="s">
        <v>770</v>
      </c>
      <c r="C597" t="s">
        <v>770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</row>
    <row r="598" spans="1:30" x14ac:dyDescent="0.3">
      <c r="A598" t="s">
        <v>1061</v>
      </c>
      <c r="B598" t="s">
        <v>770</v>
      </c>
      <c r="C598" t="s">
        <v>770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</row>
    <row r="599" spans="1:30" x14ac:dyDescent="0.3">
      <c r="A599" t="s">
        <v>1062</v>
      </c>
      <c r="B599" t="s">
        <v>770</v>
      </c>
      <c r="C599" t="s">
        <v>770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</row>
    <row r="600" spans="1:30" x14ac:dyDescent="0.3">
      <c r="A600" t="s">
        <v>1063</v>
      </c>
      <c r="B600" t="s">
        <v>770</v>
      </c>
      <c r="C600" t="s">
        <v>770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</row>
    <row r="601" spans="1:30" x14ac:dyDescent="0.3">
      <c r="A601" t="s">
        <v>1064</v>
      </c>
      <c r="B601" t="s">
        <v>770</v>
      </c>
      <c r="C601" t="s">
        <v>770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</row>
    <row r="602" spans="1:30" x14ac:dyDescent="0.3">
      <c r="A602" t="s">
        <v>1065</v>
      </c>
      <c r="B602" t="s">
        <v>770</v>
      </c>
      <c r="C602" t="s">
        <v>770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</row>
    <row r="603" spans="1:30" x14ac:dyDescent="0.3">
      <c r="A603" t="s">
        <v>1066</v>
      </c>
      <c r="B603" t="s">
        <v>770</v>
      </c>
      <c r="C603" t="s">
        <v>770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</row>
    <row r="604" spans="1:30" x14ac:dyDescent="0.3">
      <c r="A604" t="s">
        <v>1067</v>
      </c>
      <c r="B604" t="s">
        <v>770</v>
      </c>
      <c r="C604" t="s">
        <v>770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</row>
    <row r="605" spans="1:30" x14ac:dyDescent="0.3">
      <c r="A605" t="s">
        <v>1068</v>
      </c>
      <c r="B605" t="s">
        <v>770</v>
      </c>
      <c r="C605" t="s">
        <v>770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</row>
    <row r="606" spans="1:30" x14ac:dyDescent="0.3">
      <c r="A606" t="s">
        <v>1069</v>
      </c>
      <c r="B606" t="s">
        <v>770</v>
      </c>
      <c r="C606" t="s">
        <v>770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</row>
    <row r="607" spans="1:30" x14ac:dyDescent="0.3">
      <c r="A607" t="s">
        <v>1071</v>
      </c>
      <c r="B607" t="s">
        <v>770</v>
      </c>
      <c r="C607" t="s">
        <v>770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</row>
    <row r="608" spans="1:30" x14ac:dyDescent="0.3">
      <c r="A608" t="s">
        <v>1072</v>
      </c>
      <c r="B608" t="s">
        <v>1193</v>
      </c>
      <c r="C608" t="s">
        <v>770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</row>
    <row r="609" spans="1:30" x14ac:dyDescent="0.3">
      <c r="A609" t="s">
        <v>1073</v>
      </c>
      <c r="B609" t="s">
        <v>770</v>
      </c>
      <c r="C609" t="s">
        <v>770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</row>
    <row r="610" spans="1:30" x14ac:dyDescent="0.3">
      <c r="A610" t="s">
        <v>1074</v>
      </c>
      <c r="B610" t="s">
        <v>770</v>
      </c>
      <c r="C610" t="s">
        <v>770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</row>
    <row r="611" spans="1:30" x14ac:dyDescent="0.3">
      <c r="A611" t="s">
        <v>1075</v>
      </c>
      <c r="B611" t="s">
        <v>770</v>
      </c>
      <c r="C611" t="s">
        <v>770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</row>
    <row r="612" spans="1:30" x14ac:dyDescent="0.3">
      <c r="A612" t="s">
        <v>1077</v>
      </c>
      <c r="B612" t="s">
        <v>770</v>
      </c>
      <c r="C612" t="s">
        <v>770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</row>
    <row r="613" spans="1:30" x14ac:dyDescent="0.3">
      <c r="A613" t="s">
        <v>1076</v>
      </c>
      <c r="B613" t="s">
        <v>770</v>
      </c>
      <c r="C613" t="s">
        <v>770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</row>
    <row r="614" spans="1:30" x14ac:dyDescent="0.3">
      <c r="A614" t="s">
        <v>1078</v>
      </c>
      <c r="B614" t="s">
        <v>770</v>
      </c>
      <c r="C614" t="s">
        <v>770</v>
      </c>
      <c r="D614">
        <v>1</v>
      </c>
      <c r="E614">
        <v>1</v>
      </c>
      <c r="F614">
        <v>1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</row>
    <row r="615" spans="1:30" x14ac:dyDescent="0.3">
      <c r="A615" t="s">
        <v>1079</v>
      </c>
      <c r="B615" t="s">
        <v>770</v>
      </c>
      <c r="C615" t="s">
        <v>770</v>
      </c>
      <c r="D615">
        <v>1</v>
      </c>
      <c r="E615">
        <v>1</v>
      </c>
      <c r="F615">
        <v>1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</row>
    <row r="616" spans="1:30" x14ac:dyDescent="0.3">
      <c r="A616" t="s">
        <v>1080</v>
      </c>
      <c r="B616" t="s">
        <v>770</v>
      </c>
      <c r="C616" t="s">
        <v>770</v>
      </c>
      <c r="D616">
        <v>1</v>
      </c>
      <c r="E616">
        <v>1</v>
      </c>
      <c r="F616">
        <v>1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</row>
    <row r="617" spans="1:30" x14ac:dyDescent="0.3">
      <c r="A617" t="s">
        <v>1081</v>
      </c>
      <c r="B617" t="s">
        <v>770</v>
      </c>
      <c r="C617" t="s">
        <v>770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</row>
    <row r="618" spans="1:30" x14ac:dyDescent="0.3">
      <c r="A618" t="s">
        <v>1004</v>
      </c>
      <c r="B618" t="s">
        <v>770</v>
      </c>
      <c r="C618" t="s">
        <v>770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</row>
    <row r="619" spans="1:30" x14ac:dyDescent="0.3">
      <c r="A619" t="s">
        <v>1082</v>
      </c>
      <c r="B619" t="s">
        <v>770</v>
      </c>
      <c r="C619" t="s">
        <v>770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</row>
    <row r="620" spans="1:30" x14ac:dyDescent="0.3">
      <c r="A620" t="s">
        <v>1083</v>
      </c>
      <c r="B620" t="s">
        <v>770</v>
      </c>
      <c r="C620" t="s">
        <v>770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</row>
    <row r="621" spans="1:30" x14ac:dyDescent="0.3">
      <c r="A621" t="s">
        <v>1084</v>
      </c>
      <c r="B621" t="s">
        <v>770</v>
      </c>
      <c r="C621" t="s">
        <v>770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</row>
    <row r="622" spans="1:30" x14ac:dyDescent="0.3">
      <c r="A622" t="s">
        <v>1085</v>
      </c>
      <c r="B622" t="s">
        <v>1193</v>
      </c>
      <c r="C622" t="s">
        <v>946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1</v>
      </c>
      <c r="AB622">
        <v>0</v>
      </c>
      <c r="AC622">
        <v>0</v>
      </c>
      <c r="AD622">
        <v>0</v>
      </c>
    </row>
    <row r="623" spans="1:30" x14ac:dyDescent="0.3">
      <c r="A623" t="s">
        <v>1086</v>
      </c>
      <c r="B623" t="s">
        <v>770</v>
      </c>
      <c r="C623" t="s">
        <v>770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1</v>
      </c>
      <c r="AB623">
        <v>0</v>
      </c>
      <c r="AC623">
        <v>0</v>
      </c>
      <c r="AD623">
        <v>0</v>
      </c>
    </row>
    <row r="624" spans="1:30" x14ac:dyDescent="0.3">
      <c r="A624" t="s">
        <v>1087</v>
      </c>
      <c r="B624" t="s">
        <v>1192</v>
      </c>
      <c r="C624" t="s">
        <v>946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1</v>
      </c>
      <c r="AB624">
        <v>0</v>
      </c>
      <c r="AC624">
        <v>0</v>
      </c>
      <c r="AD624">
        <v>0</v>
      </c>
    </row>
    <row r="625" spans="1:30" x14ac:dyDescent="0.3">
      <c r="A625" t="s">
        <v>1088</v>
      </c>
      <c r="B625" t="s">
        <v>1193</v>
      </c>
      <c r="C625" t="s">
        <v>946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1</v>
      </c>
      <c r="AB625">
        <v>0</v>
      </c>
      <c r="AC625">
        <v>0</v>
      </c>
      <c r="AD625">
        <v>0</v>
      </c>
    </row>
    <row r="626" spans="1:30" x14ac:dyDescent="0.3">
      <c r="A626" t="s">
        <v>1089</v>
      </c>
      <c r="B626" t="s">
        <v>1193</v>
      </c>
      <c r="C626" t="s">
        <v>946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1</v>
      </c>
      <c r="AB626">
        <v>0</v>
      </c>
      <c r="AC626">
        <v>0</v>
      </c>
      <c r="AD626">
        <v>0</v>
      </c>
    </row>
    <row r="627" spans="1:30" x14ac:dyDescent="0.3">
      <c r="A627" t="s">
        <v>1090</v>
      </c>
      <c r="B627" t="s">
        <v>1193</v>
      </c>
      <c r="C627" t="s">
        <v>946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1</v>
      </c>
      <c r="AB627">
        <v>0</v>
      </c>
      <c r="AC627">
        <v>0</v>
      </c>
      <c r="AD627">
        <v>0</v>
      </c>
    </row>
    <row r="628" spans="1:30" x14ac:dyDescent="0.3">
      <c r="A628" t="s">
        <v>1091</v>
      </c>
      <c r="B628" t="s">
        <v>1193</v>
      </c>
      <c r="C628" t="s">
        <v>946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1</v>
      </c>
      <c r="AB628">
        <v>0</v>
      </c>
      <c r="AC628">
        <v>0</v>
      </c>
      <c r="AD628">
        <v>0</v>
      </c>
    </row>
    <row r="629" spans="1:30" x14ac:dyDescent="0.3">
      <c r="A629" t="s">
        <v>1092</v>
      </c>
      <c r="B629" t="s">
        <v>1193</v>
      </c>
      <c r="C629" t="s">
        <v>946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1</v>
      </c>
      <c r="AB629">
        <v>0</v>
      </c>
      <c r="AC629">
        <v>0</v>
      </c>
      <c r="AD629">
        <v>0</v>
      </c>
    </row>
    <row r="630" spans="1:30" x14ac:dyDescent="0.3">
      <c r="A630" t="s">
        <v>1093</v>
      </c>
      <c r="B630" t="s">
        <v>770</v>
      </c>
      <c r="C630" t="s">
        <v>770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1</v>
      </c>
      <c r="AB630">
        <v>0</v>
      </c>
      <c r="AC630">
        <v>0</v>
      </c>
      <c r="AD630">
        <v>0</v>
      </c>
    </row>
    <row r="631" spans="1:30" x14ac:dyDescent="0.3">
      <c r="A631" t="s">
        <v>1094</v>
      </c>
      <c r="B631" t="s">
        <v>1193</v>
      </c>
      <c r="C631" t="s">
        <v>946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1</v>
      </c>
      <c r="AB631">
        <v>0</v>
      </c>
      <c r="AC631">
        <v>0</v>
      </c>
      <c r="AD631">
        <v>0</v>
      </c>
    </row>
    <row r="632" spans="1:30" x14ac:dyDescent="0.3">
      <c r="A632" t="s">
        <v>1095</v>
      </c>
      <c r="B632" t="s">
        <v>770</v>
      </c>
      <c r="C632" t="s">
        <v>770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</row>
    <row r="633" spans="1:30" x14ac:dyDescent="0.3">
      <c r="A633" t="s">
        <v>1096</v>
      </c>
      <c r="B633" t="s">
        <v>1193</v>
      </c>
      <c r="C633" t="s">
        <v>58</v>
      </c>
      <c r="D633">
        <v>1</v>
      </c>
      <c r="E633">
        <v>1</v>
      </c>
      <c r="F633">
        <v>1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1</v>
      </c>
      <c r="AD633">
        <v>0</v>
      </c>
    </row>
    <row r="634" spans="1:30" x14ac:dyDescent="0.3">
      <c r="A634" t="s">
        <v>1097</v>
      </c>
      <c r="B634" t="s">
        <v>1193</v>
      </c>
      <c r="C634" t="s">
        <v>58</v>
      </c>
      <c r="D634">
        <v>1</v>
      </c>
      <c r="E634">
        <v>1</v>
      </c>
      <c r="F634">
        <v>1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1</v>
      </c>
      <c r="Y634">
        <v>0</v>
      </c>
      <c r="Z634">
        <v>0</v>
      </c>
      <c r="AA634">
        <v>0</v>
      </c>
      <c r="AB634">
        <v>0</v>
      </c>
      <c r="AC634">
        <v>1</v>
      </c>
      <c r="AD634">
        <v>0</v>
      </c>
    </row>
    <row r="635" spans="1:30" x14ac:dyDescent="0.3">
      <c r="A635" t="s">
        <v>1098</v>
      </c>
      <c r="B635" t="s">
        <v>1193</v>
      </c>
      <c r="C635" t="s">
        <v>807</v>
      </c>
      <c r="D635">
        <v>1</v>
      </c>
      <c r="E635">
        <v>1</v>
      </c>
      <c r="F635">
        <v>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1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1</v>
      </c>
      <c r="AD635">
        <v>0</v>
      </c>
    </row>
    <row r="636" spans="1:30" x14ac:dyDescent="0.3">
      <c r="A636" t="s">
        <v>1099</v>
      </c>
      <c r="B636" t="s">
        <v>1193</v>
      </c>
      <c r="C636" t="s">
        <v>773</v>
      </c>
      <c r="D636">
        <v>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1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1</v>
      </c>
      <c r="AC636">
        <v>1</v>
      </c>
      <c r="AD636">
        <v>0</v>
      </c>
    </row>
    <row r="637" spans="1:30" x14ac:dyDescent="0.3">
      <c r="A637" t="s">
        <v>1100</v>
      </c>
      <c r="B637" t="s">
        <v>1193</v>
      </c>
      <c r="C637" t="s">
        <v>771</v>
      </c>
      <c r="D637">
        <v>1</v>
      </c>
      <c r="E637">
        <v>1</v>
      </c>
      <c r="F637">
        <v>1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1</v>
      </c>
      <c r="S637">
        <v>0</v>
      </c>
      <c r="T637">
        <v>0</v>
      </c>
      <c r="U637">
        <v>0</v>
      </c>
      <c r="V637">
        <v>1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1</v>
      </c>
      <c r="AC637">
        <v>0</v>
      </c>
      <c r="AD637">
        <v>0</v>
      </c>
    </row>
    <row r="638" spans="1:30" x14ac:dyDescent="0.3">
      <c r="A638" t="s">
        <v>1101</v>
      </c>
      <c r="B638" t="s">
        <v>1193</v>
      </c>
      <c r="C638" t="s">
        <v>551</v>
      </c>
      <c r="D638">
        <v>1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1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1</v>
      </c>
      <c r="AC638">
        <v>1</v>
      </c>
      <c r="AD638">
        <v>0</v>
      </c>
    </row>
    <row r="639" spans="1:30" x14ac:dyDescent="0.3">
      <c r="A639" t="s">
        <v>1102</v>
      </c>
      <c r="B639" t="s">
        <v>1193</v>
      </c>
      <c r="C639" t="s">
        <v>807</v>
      </c>
      <c r="D639">
        <v>1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1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1</v>
      </c>
      <c r="AC639">
        <v>1</v>
      </c>
      <c r="AD639">
        <v>0</v>
      </c>
    </row>
    <row r="640" spans="1:30" x14ac:dyDescent="0.3">
      <c r="A640" t="s">
        <v>681</v>
      </c>
      <c r="B640" t="s">
        <v>1193</v>
      </c>
      <c r="C640" t="s">
        <v>807</v>
      </c>
      <c r="D640">
        <v>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1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1</v>
      </c>
      <c r="AC640">
        <v>0</v>
      </c>
      <c r="AD640">
        <v>0</v>
      </c>
    </row>
    <row r="641" spans="1:30" x14ac:dyDescent="0.3">
      <c r="A641" t="s">
        <v>1103</v>
      </c>
      <c r="B641" t="s">
        <v>1193</v>
      </c>
      <c r="C641" t="s">
        <v>773</v>
      </c>
      <c r="D641">
        <v>1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1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1</v>
      </c>
      <c r="AC641">
        <v>1</v>
      </c>
      <c r="AD641">
        <v>0</v>
      </c>
    </row>
    <row r="642" spans="1:30" x14ac:dyDescent="0.3">
      <c r="A642" t="s">
        <v>1104</v>
      </c>
      <c r="B642" t="s">
        <v>770</v>
      </c>
      <c r="C642" t="s">
        <v>770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</row>
    <row r="643" spans="1:30" x14ac:dyDescent="0.3">
      <c r="A643" t="s">
        <v>1105</v>
      </c>
      <c r="B643" t="s">
        <v>1193</v>
      </c>
      <c r="C643" t="s">
        <v>807</v>
      </c>
      <c r="D643">
        <v>1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1</v>
      </c>
      <c r="W643">
        <v>1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</row>
    <row r="644" spans="1:30" x14ac:dyDescent="0.3">
      <c r="A644" t="s">
        <v>1106</v>
      </c>
      <c r="B644" t="s">
        <v>1193</v>
      </c>
      <c r="C644" t="s">
        <v>559</v>
      </c>
      <c r="D644">
        <v>1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</v>
      </c>
      <c r="W644">
        <v>1</v>
      </c>
      <c r="X644">
        <v>0</v>
      </c>
      <c r="Y644">
        <v>0</v>
      </c>
      <c r="Z644">
        <v>0</v>
      </c>
      <c r="AA644">
        <v>0</v>
      </c>
      <c r="AB644">
        <v>1</v>
      </c>
      <c r="AC644">
        <v>1</v>
      </c>
      <c r="AD644">
        <v>0</v>
      </c>
    </row>
    <row r="645" spans="1:30" x14ac:dyDescent="0.3">
      <c r="A645" t="s">
        <v>1107</v>
      </c>
      <c r="B645" t="s">
        <v>770</v>
      </c>
      <c r="C645" t="s">
        <v>770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</row>
    <row r="646" spans="1:30" x14ac:dyDescent="0.3">
      <c r="A646" t="s">
        <v>1108</v>
      </c>
      <c r="B646" t="s">
        <v>1193</v>
      </c>
      <c r="C646" t="s">
        <v>773</v>
      </c>
      <c r="D646">
        <v>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1</v>
      </c>
      <c r="AD646">
        <v>0</v>
      </c>
    </row>
    <row r="647" spans="1:30" x14ac:dyDescent="0.3">
      <c r="A647" t="s">
        <v>1109</v>
      </c>
      <c r="B647" t="s">
        <v>770</v>
      </c>
      <c r="C647" t="s">
        <v>770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</row>
    <row r="648" spans="1:30" x14ac:dyDescent="0.3">
      <c r="A648" t="s">
        <v>1110</v>
      </c>
      <c r="B648" t="s">
        <v>1193</v>
      </c>
      <c r="C648" t="s">
        <v>58</v>
      </c>
      <c r="D648">
        <v>1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1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1</v>
      </c>
      <c r="AC648">
        <v>1</v>
      </c>
      <c r="AD648">
        <v>0</v>
      </c>
    </row>
    <row r="649" spans="1:30" x14ac:dyDescent="0.3">
      <c r="A649" t="s">
        <v>1111</v>
      </c>
      <c r="B649" t="s">
        <v>1198</v>
      </c>
      <c r="C649" t="s">
        <v>946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</row>
    <row r="650" spans="1:30" x14ac:dyDescent="0.3">
      <c r="A650" t="s">
        <v>1112</v>
      </c>
      <c r="B650" t="s">
        <v>1198</v>
      </c>
      <c r="C650" t="s">
        <v>946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</row>
    <row r="651" spans="1:30" x14ac:dyDescent="0.3">
      <c r="A651" t="s">
        <v>1113</v>
      </c>
      <c r="B651" t="s">
        <v>1198</v>
      </c>
      <c r="C651" t="s">
        <v>946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</row>
    <row r="652" spans="1:30" x14ac:dyDescent="0.3">
      <c r="A652" t="s">
        <v>1114</v>
      </c>
      <c r="B652" t="s">
        <v>1197</v>
      </c>
      <c r="C652" t="s">
        <v>770</v>
      </c>
      <c r="D652">
        <v>1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</row>
    <row r="653" spans="1:30" x14ac:dyDescent="0.3">
      <c r="A653" t="s">
        <v>1115</v>
      </c>
      <c r="B653" t="s">
        <v>770</v>
      </c>
      <c r="C653" t="s">
        <v>770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</row>
    <row r="654" spans="1:30" x14ac:dyDescent="0.3">
      <c r="A654" t="s">
        <v>641</v>
      </c>
      <c r="B654" t="s">
        <v>1192</v>
      </c>
      <c r="C654" t="s">
        <v>770</v>
      </c>
      <c r="D654">
        <v>1</v>
      </c>
      <c r="E654">
        <v>1</v>
      </c>
      <c r="F654">
        <v>1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1</v>
      </c>
      <c r="X654">
        <v>1</v>
      </c>
      <c r="Y654">
        <v>0</v>
      </c>
      <c r="Z654">
        <v>0</v>
      </c>
      <c r="AA654">
        <v>0</v>
      </c>
      <c r="AB654">
        <v>0</v>
      </c>
      <c r="AC654">
        <v>1</v>
      </c>
      <c r="AD654">
        <v>0</v>
      </c>
    </row>
    <row r="655" spans="1:30" x14ac:dyDescent="0.3">
      <c r="A655" t="s">
        <v>1116</v>
      </c>
      <c r="B655" t="s">
        <v>770</v>
      </c>
      <c r="C655" t="s">
        <v>770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</row>
    <row r="656" spans="1:30" x14ac:dyDescent="0.3">
      <c r="A656" t="s">
        <v>1117</v>
      </c>
      <c r="B656" t="s">
        <v>770</v>
      </c>
      <c r="C656" t="s">
        <v>770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</row>
    <row r="657" spans="1:30" x14ac:dyDescent="0.3">
      <c r="A657" t="s">
        <v>1118</v>
      </c>
      <c r="B657" t="s">
        <v>770</v>
      </c>
      <c r="C657" t="s">
        <v>770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30" x14ac:dyDescent="0.3">
      <c r="A658" t="s">
        <v>1120</v>
      </c>
      <c r="B658" t="s">
        <v>770</v>
      </c>
      <c r="C658" t="s">
        <v>770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</row>
    <row r="659" spans="1:30" x14ac:dyDescent="0.3">
      <c r="A659" t="s">
        <v>1119</v>
      </c>
      <c r="B659" t="s">
        <v>770</v>
      </c>
      <c r="C659" t="s">
        <v>770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</row>
    <row r="660" spans="1:30" x14ac:dyDescent="0.3">
      <c r="A660" t="s">
        <v>1121</v>
      </c>
      <c r="B660" t="s">
        <v>1193</v>
      </c>
      <c r="C660" t="s">
        <v>557</v>
      </c>
      <c r="D660">
        <v>1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</row>
    <row r="661" spans="1:30" x14ac:dyDescent="0.3">
      <c r="A661" t="s">
        <v>1122</v>
      </c>
      <c r="B661" t="s">
        <v>1193</v>
      </c>
      <c r="C661" t="s">
        <v>58</v>
      </c>
      <c r="D661">
        <v>1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1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0" x14ac:dyDescent="0.3">
      <c r="A662" t="s">
        <v>1123</v>
      </c>
      <c r="B662" t="s">
        <v>1193</v>
      </c>
      <c r="C662" t="s">
        <v>807</v>
      </c>
      <c r="D662">
        <v>1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1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1</v>
      </c>
      <c r="AC662">
        <v>0</v>
      </c>
      <c r="AD662">
        <v>0</v>
      </c>
    </row>
    <row r="663" spans="1:30" x14ac:dyDescent="0.3">
      <c r="A663" t="s">
        <v>1124</v>
      </c>
      <c r="B663" t="s">
        <v>1193</v>
      </c>
      <c r="C663" t="s">
        <v>58</v>
      </c>
      <c r="D663">
        <v>1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1</v>
      </c>
      <c r="W663">
        <v>1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30" x14ac:dyDescent="0.3">
      <c r="A664" t="s">
        <v>1125</v>
      </c>
      <c r="B664" t="s">
        <v>1193</v>
      </c>
      <c r="C664" t="s">
        <v>773</v>
      </c>
      <c r="D664">
        <v>1</v>
      </c>
      <c r="E664">
        <v>1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1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</row>
    <row r="665" spans="1:30" x14ac:dyDescent="0.3">
      <c r="A665" t="s">
        <v>1126</v>
      </c>
      <c r="B665" t="s">
        <v>770</v>
      </c>
      <c r="C665" t="s">
        <v>770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</row>
    <row r="666" spans="1:30" x14ac:dyDescent="0.3">
      <c r="A666" t="s">
        <v>1127</v>
      </c>
      <c r="B666" t="s">
        <v>1193</v>
      </c>
      <c r="C666" t="s">
        <v>58</v>
      </c>
      <c r="D666">
        <v>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1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</row>
    <row r="667" spans="1:30" x14ac:dyDescent="0.3">
      <c r="A667" t="s">
        <v>1128</v>
      </c>
      <c r="B667" t="s">
        <v>1193</v>
      </c>
      <c r="C667" t="s">
        <v>807</v>
      </c>
      <c r="D667">
        <v>1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</row>
    <row r="668" spans="1:30" x14ac:dyDescent="0.3">
      <c r="A668" t="s">
        <v>1129</v>
      </c>
      <c r="B668" t="s">
        <v>1193</v>
      </c>
      <c r="C668" t="s">
        <v>807</v>
      </c>
      <c r="D668">
        <v>1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1</v>
      </c>
      <c r="W668">
        <v>1</v>
      </c>
      <c r="X668">
        <v>0</v>
      </c>
      <c r="Y668">
        <v>0</v>
      </c>
      <c r="Z668">
        <v>0</v>
      </c>
      <c r="AA668">
        <v>0</v>
      </c>
      <c r="AB668">
        <v>1</v>
      </c>
      <c r="AC668">
        <v>0</v>
      </c>
      <c r="AD668">
        <v>0</v>
      </c>
    </row>
    <row r="669" spans="1:30" x14ac:dyDescent="0.3">
      <c r="A669" t="s">
        <v>636</v>
      </c>
      <c r="B669" t="s">
        <v>1193</v>
      </c>
      <c r="C669" t="s">
        <v>559</v>
      </c>
      <c r="D669">
        <v>1</v>
      </c>
      <c r="E669">
        <v>1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1</v>
      </c>
      <c r="X669">
        <v>0</v>
      </c>
      <c r="Y669">
        <v>0</v>
      </c>
      <c r="Z669">
        <v>0</v>
      </c>
      <c r="AA669">
        <v>0</v>
      </c>
      <c r="AB669">
        <v>1</v>
      </c>
      <c r="AC669">
        <v>0</v>
      </c>
      <c r="AD669">
        <v>0</v>
      </c>
    </row>
    <row r="670" spans="1:30" x14ac:dyDescent="0.3">
      <c r="A670" t="s">
        <v>1130</v>
      </c>
      <c r="B670" t="s">
        <v>1193</v>
      </c>
      <c r="C670" t="s">
        <v>807</v>
      </c>
      <c r="D670">
        <v>1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</row>
    <row r="671" spans="1:30" x14ac:dyDescent="0.3">
      <c r="A671" t="s">
        <v>1131</v>
      </c>
      <c r="B671" t="s">
        <v>1193</v>
      </c>
      <c r="C671" t="s">
        <v>771</v>
      </c>
      <c r="D671">
        <v>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1</v>
      </c>
      <c r="U671">
        <v>0</v>
      </c>
      <c r="V671">
        <v>1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1</v>
      </c>
      <c r="AC671">
        <v>0</v>
      </c>
      <c r="AD671">
        <v>0</v>
      </c>
    </row>
    <row r="672" spans="1:30" x14ac:dyDescent="0.3">
      <c r="A672" t="s">
        <v>1132</v>
      </c>
      <c r="B672" t="s">
        <v>1193</v>
      </c>
      <c r="C672" t="s">
        <v>773</v>
      </c>
      <c r="D672">
        <v>1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</row>
    <row r="673" spans="1:30" x14ac:dyDescent="0.3">
      <c r="A673" t="s">
        <v>1133</v>
      </c>
      <c r="B673" t="s">
        <v>1193</v>
      </c>
      <c r="C673" t="s">
        <v>773</v>
      </c>
      <c r="D673">
        <v>1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1</v>
      </c>
      <c r="X673">
        <v>0</v>
      </c>
      <c r="Y673">
        <v>0</v>
      </c>
      <c r="Z673">
        <v>0</v>
      </c>
      <c r="AA673">
        <v>0</v>
      </c>
      <c r="AB673">
        <v>1</v>
      </c>
      <c r="AC673">
        <v>0</v>
      </c>
      <c r="AD673">
        <v>0</v>
      </c>
    </row>
    <row r="674" spans="1:30" x14ac:dyDescent="0.3">
      <c r="A674" t="s">
        <v>1134</v>
      </c>
      <c r="B674" t="s">
        <v>1193</v>
      </c>
      <c r="C674" t="s">
        <v>58</v>
      </c>
      <c r="D674">
        <v>1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</row>
    <row r="675" spans="1:30" x14ac:dyDescent="0.3">
      <c r="A675" t="s">
        <v>1135</v>
      </c>
      <c r="B675" t="s">
        <v>770</v>
      </c>
      <c r="C675" t="s">
        <v>770</v>
      </c>
      <c r="D675">
        <v>1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</row>
    <row r="676" spans="1:30" x14ac:dyDescent="0.3">
      <c r="A676" t="s">
        <v>1136</v>
      </c>
      <c r="B676" t="s">
        <v>1193</v>
      </c>
      <c r="C676" t="s">
        <v>58</v>
      </c>
      <c r="D676">
        <v>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</row>
    <row r="677" spans="1:30" x14ac:dyDescent="0.3">
      <c r="A677" t="s">
        <v>1137</v>
      </c>
      <c r="B677" t="s">
        <v>1193</v>
      </c>
      <c r="C677" t="s">
        <v>771</v>
      </c>
      <c r="D677">
        <v>1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</row>
    <row r="678" spans="1:30" x14ac:dyDescent="0.3">
      <c r="A678" t="s">
        <v>1138</v>
      </c>
      <c r="B678" t="s">
        <v>1193</v>
      </c>
      <c r="C678" t="s">
        <v>58</v>
      </c>
      <c r="D678">
        <v>1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1</v>
      </c>
      <c r="W678">
        <v>1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</row>
    <row r="679" spans="1:30" x14ac:dyDescent="0.3">
      <c r="A679" t="s">
        <v>1139</v>
      </c>
      <c r="B679" t="s">
        <v>1193</v>
      </c>
      <c r="C679" t="s">
        <v>773</v>
      </c>
      <c r="D679">
        <v>1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</row>
    <row r="680" spans="1:30" x14ac:dyDescent="0.3">
      <c r="A680" t="s">
        <v>1140</v>
      </c>
      <c r="B680" t="s">
        <v>1193</v>
      </c>
      <c r="C680" t="s">
        <v>771</v>
      </c>
      <c r="D680">
        <v>1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1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</row>
    <row r="681" spans="1:30" x14ac:dyDescent="0.3">
      <c r="A681" t="s">
        <v>1141</v>
      </c>
      <c r="B681" t="s">
        <v>770</v>
      </c>
      <c r="C681" t="s">
        <v>770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</row>
    <row r="682" spans="1:30" x14ac:dyDescent="0.3">
      <c r="A682" t="s">
        <v>1142</v>
      </c>
      <c r="B682" t="s">
        <v>1193</v>
      </c>
      <c r="C682" t="s">
        <v>807</v>
      </c>
      <c r="D682">
        <v>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1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1</v>
      </c>
      <c r="AC682">
        <v>0</v>
      </c>
      <c r="AD682">
        <v>0</v>
      </c>
    </row>
    <row r="683" spans="1:30" x14ac:dyDescent="0.3">
      <c r="A683" t="s">
        <v>1143</v>
      </c>
      <c r="B683" t="s">
        <v>1193</v>
      </c>
      <c r="C683" t="s">
        <v>557</v>
      </c>
      <c r="D683">
        <v>1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</row>
    <row r="684" spans="1:30" x14ac:dyDescent="0.3">
      <c r="A684" t="s">
        <v>1144</v>
      </c>
      <c r="B684" t="s">
        <v>1193</v>
      </c>
      <c r="C684" t="s">
        <v>807</v>
      </c>
      <c r="D684">
        <v>1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</row>
    <row r="685" spans="1:30" x14ac:dyDescent="0.3">
      <c r="A685" t="s">
        <v>1145</v>
      </c>
      <c r="B685" t="s">
        <v>1193</v>
      </c>
      <c r="C685" t="s">
        <v>773</v>
      </c>
      <c r="D685">
        <v>1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</row>
    <row r="686" spans="1:30" x14ac:dyDescent="0.3">
      <c r="A686" t="s">
        <v>1146</v>
      </c>
      <c r="B686" t="s">
        <v>1193</v>
      </c>
      <c r="C686" t="s">
        <v>773</v>
      </c>
      <c r="D686">
        <v>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</row>
    <row r="687" spans="1:30" x14ac:dyDescent="0.3">
      <c r="A687" t="s">
        <v>1147</v>
      </c>
      <c r="B687" t="s">
        <v>1193</v>
      </c>
      <c r="C687" t="s">
        <v>773</v>
      </c>
      <c r="D687">
        <v>1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</row>
    <row r="688" spans="1:30" x14ac:dyDescent="0.3">
      <c r="A688" t="s">
        <v>1148</v>
      </c>
      <c r="B688" t="s">
        <v>1193</v>
      </c>
      <c r="C688" t="s">
        <v>807</v>
      </c>
      <c r="D688">
        <v>1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</row>
    <row r="689" spans="1:30" x14ac:dyDescent="0.3">
      <c r="A689" t="s">
        <v>1149</v>
      </c>
      <c r="B689" t="s">
        <v>1193</v>
      </c>
      <c r="C689" t="s">
        <v>807</v>
      </c>
      <c r="D689">
        <v>1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</row>
    <row r="690" spans="1:30" x14ac:dyDescent="0.3">
      <c r="A690" t="s">
        <v>1150</v>
      </c>
      <c r="B690" t="s">
        <v>1193</v>
      </c>
      <c r="C690" t="s">
        <v>807</v>
      </c>
      <c r="D690">
        <v>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</row>
    <row r="691" spans="1:30" x14ac:dyDescent="0.3">
      <c r="A691" t="s">
        <v>487</v>
      </c>
      <c r="B691" t="s">
        <v>1193</v>
      </c>
      <c r="C691" t="s">
        <v>771</v>
      </c>
      <c r="D691">
        <v>1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</row>
    <row r="692" spans="1:30" x14ac:dyDescent="0.3">
      <c r="A692" t="s">
        <v>1151</v>
      </c>
      <c r="B692" t="s">
        <v>1193</v>
      </c>
      <c r="C692" t="s">
        <v>807</v>
      </c>
      <c r="D692">
        <v>1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1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</row>
    <row r="693" spans="1:30" x14ac:dyDescent="0.3">
      <c r="A693" t="s">
        <v>1152</v>
      </c>
      <c r="B693" t="s">
        <v>1193</v>
      </c>
      <c r="C693" t="s">
        <v>771</v>
      </c>
      <c r="D693">
        <v>1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0" x14ac:dyDescent="0.3">
      <c r="A694" t="s">
        <v>1153</v>
      </c>
      <c r="B694" t="s">
        <v>1193</v>
      </c>
      <c r="C694" t="s">
        <v>773</v>
      </c>
      <c r="D694">
        <v>1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0" x14ac:dyDescent="0.3">
      <c r="A695" t="s">
        <v>1154</v>
      </c>
      <c r="B695" t="s">
        <v>1193</v>
      </c>
      <c r="C695" t="s">
        <v>559</v>
      </c>
      <c r="D695">
        <v>1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0" x14ac:dyDescent="0.3">
      <c r="A696" t="s">
        <v>1155</v>
      </c>
      <c r="B696" t="s">
        <v>1193</v>
      </c>
      <c r="C696" t="s">
        <v>807</v>
      </c>
      <c r="D696">
        <v>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</row>
    <row r="697" spans="1:30" x14ac:dyDescent="0.3">
      <c r="A697" t="s">
        <v>660</v>
      </c>
      <c r="B697" t="s">
        <v>1193</v>
      </c>
      <c r="C697" t="s">
        <v>773</v>
      </c>
      <c r="D697">
        <v>1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</row>
    <row r="698" spans="1:30" x14ac:dyDescent="0.3">
      <c r="A698" t="s">
        <v>634</v>
      </c>
      <c r="B698" t="s">
        <v>1193</v>
      </c>
      <c r="C698" t="s">
        <v>551</v>
      </c>
      <c r="D698">
        <v>1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</row>
    <row r="699" spans="1:30" x14ac:dyDescent="0.3">
      <c r="A699" t="s">
        <v>1156</v>
      </c>
      <c r="B699" t="s">
        <v>1193</v>
      </c>
      <c r="C699" t="s">
        <v>807</v>
      </c>
      <c r="D699">
        <v>1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</row>
    <row r="700" spans="1:30" x14ac:dyDescent="0.3">
      <c r="A700" t="s">
        <v>1157</v>
      </c>
      <c r="B700" t="s">
        <v>1193</v>
      </c>
      <c r="C700" t="s">
        <v>551</v>
      </c>
      <c r="D700">
        <v>1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</row>
    <row r="701" spans="1:30" x14ac:dyDescent="0.3">
      <c r="A701" t="s">
        <v>1158</v>
      </c>
      <c r="B701" t="s">
        <v>1193</v>
      </c>
      <c r="C701" t="s">
        <v>771</v>
      </c>
      <c r="D701">
        <v>1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27"/>
  <sheetViews>
    <sheetView topLeftCell="A25" workbookViewId="0">
      <selection activeCell="A48" sqref="A48"/>
    </sheetView>
  </sheetViews>
  <sheetFormatPr defaultRowHeight="14.4" x14ac:dyDescent="0.3"/>
  <cols>
    <col min="1" max="31" width="17.6640625" customWidth="1"/>
  </cols>
  <sheetData>
    <row r="1" spans="1:30" s="12" customFormat="1" ht="15.6" x14ac:dyDescent="0.3">
      <c r="A1" s="12" t="s">
        <v>58</v>
      </c>
      <c r="B1" s="12" t="s">
        <v>474</v>
      </c>
      <c r="C1" s="12" t="s">
        <v>483</v>
      </c>
      <c r="D1" s="12" t="s">
        <v>489</v>
      </c>
      <c r="E1" s="12" t="s">
        <v>497</v>
      </c>
      <c r="F1" s="12" t="s">
        <v>503</v>
      </c>
      <c r="G1" s="12" t="s">
        <v>512</v>
      </c>
      <c r="H1" s="12" t="s">
        <v>516</v>
      </c>
      <c r="I1" s="12" t="s">
        <v>518</v>
      </c>
      <c r="J1" s="12" t="s">
        <v>524</v>
      </c>
      <c r="K1" s="12" t="s">
        <v>529</v>
      </c>
      <c r="L1" s="12" t="s">
        <v>537</v>
      </c>
      <c r="M1" s="12" t="s">
        <v>546</v>
      </c>
      <c r="N1" s="12" t="s">
        <v>551</v>
      </c>
      <c r="O1" s="12" t="s">
        <v>553</v>
      </c>
      <c r="P1" s="12" t="s">
        <v>557</v>
      </c>
      <c r="Q1" s="12" t="s">
        <v>559</v>
      </c>
      <c r="R1" s="12" t="s">
        <v>569</v>
      </c>
      <c r="S1" s="12" t="s">
        <v>573</v>
      </c>
      <c r="T1" s="12" t="s">
        <v>581</v>
      </c>
      <c r="U1" s="12" t="s">
        <v>586</v>
      </c>
      <c r="V1" s="12" t="s">
        <v>591</v>
      </c>
      <c r="W1" s="12" t="s">
        <v>595</v>
      </c>
      <c r="X1" s="12" t="s">
        <v>600</v>
      </c>
      <c r="Y1" s="12" t="s">
        <v>807</v>
      </c>
      <c r="Z1" s="12" t="s">
        <v>773</v>
      </c>
      <c r="AA1" s="12" t="s">
        <v>771</v>
      </c>
      <c r="AB1" s="12" t="s">
        <v>1169</v>
      </c>
      <c r="AC1" s="12" t="s">
        <v>946</v>
      </c>
      <c r="AD1" s="12" t="s">
        <v>717</v>
      </c>
    </row>
    <row r="2" spans="1:30" x14ac:dyDescent="0.3">
      <c r="A2" t="s">
        <v>648</v>
      </c>
      <c r="B2" t="s">
        <v>480</v>
      </c>
      <c r="C2" t="s">
        <v>614</v>
      </c>
      <c r="D2" t="s">
        <v>676</v>
      </c>
      <c r="E2" t="s">
        <v>643</v>
      </c>
      <c r="F2" t="s">
        <v>655</v>
      </c>
      <c r="G2" t="s">
        <v>650</v>
      </c>
      <c r="H2" t="s">
        <v>657</v>
      </c>
      <c r="I2" t="s">
        <v>661</v>
      </c>
      <c r="J2" t="s">
        <v>523</v>
      </c>
      <c r="K2" t="s">
        <v>649</v>
      </c>
      <c r="L2" t="s">
        <v>658</v>
      </c>
      <c r="M2" t="s">
        <v>547</v>
      </c>
      <c r="N2" t="s">
        <v>673</v>
      </c>
      <c r="O2" t="s">
        <v>671</v>
      </c>
      <c r="P2" t="s">
        <v>662</v>
      </c>
      <c r="Q2" t="s">
        <v>680</v>
      </c>
      <c r="R2" t="s">
        <v>568</v>
      </c>
      <c r="S2" t="s">
        <v>664</v>
      </c>
      <c r="T2" t="s">
        <v>582</v>
      </c>
      <c r="U2" t="s">
        <v>706</v>
      </c>
      <c r="V2" t="s">
        <v>732</v>
      </c>
      <c r="W2" t="s">
        <v>597</v>
      </c>
      <c r="X2" t="s">
        <v>677</v>
      </c>
      <c r="Y2" t="s">
        <v>920</v>
      </c>
      <c r="Z2" t="s">
        <v>820</v>
      </c>
      <c r="AA2" t="s">
        <v>844</v>
      </c>
      <c r="AB2" t="s">
        <v>1156</v>
      </c>
      <c r="AC2" t="s">
        <v>1090</v>
      </c>
      <c r="AD2" t="s">
        <v>722</v>
      </c>
    </row>
    <row r="3" spans="1:30" x14ac:dyDescent="0.3">
      <c r="A3" t="s">
        <v>853</v>
      </c>
      <c r="B3" t="s">
        <v>613</v>
      </c>
      <c r="C3" t="s">
        <v>482</v>
      </c>
      <c r="D3" t="s">
        <v>491</v>
      </c>
      <c r="E3" t="s">
        <v>684</v>
      </c>
      <c r="F3" t="s">
        <v>509</v>
      </c>
      <c r="G3" t="s">
        <v>689</v>
      </c>
      <c r="H3" t="s">
        <v>720</v>
      </c>
      <c r="I3" t="s">
        <v>522</v>
      </c>
      <c r="J3" t="s">
        <v>638</v>
      </c>
      <c r="K3" t="s">
        <v>535</v>
      </c>
      <c r="L3" t="s">
        <v>763</v>
      </c>
      <c r="M3" t="s">
        <v>549</v>
      </c>
      <c r="N3" t="s">
        <v>674</v>
      </c>
      <c r="O3" t="s">
        <v>555</v>
      </c>
      <c r="P3" t="s">
        <v>663</v>
      </c>
      <c r="Q3" t="s">
        <v>1099</v>
      </c>
      <c r="R3" t="s">
        <v>571</v>
      </c>
      <c r="S3" t="s">
        <v>577</v>
      </c>
      <c r="T3" t="s">
        <v>604</v>
      </c>
      <c r="U3" t="s">
        <v>642</v>
      </c>
      <c r="V3" t="s">
        <v>704</v>
      </c>
      <c r="W3" t="s">
        <v>761</v>
      </c>
      <c r="X3" t="s">
        <v>601</v>
      </c>
      <c r="Y3" t="s">
        <v>892</v>
      </c>
      <c r="Z3" t="s">
        <v>785</v>
      </c>
      <c r="AA3" t="s">
        <v>821</v>
      </c>
      <c r="AB3" t="s">
        <v>1014</v>
      </c>
      <c r="AC3" t="s">
        <v>1053</v>
      </c>
      <c r="AD3" t="s">
        <v>752</v>
      </c>
    </row>
    <row r="4" spans="1:30" x14ac:dyDescent="0.3">
      <c r="A4" t="s">
        <v>868</v>
      </c>
      <c r="B4" t="s">
        <v>628</v>
      </c>
      <c r="C4" t="s">
        <v>484</v>
      </c>
      <c r="D4" t="s">
        <v>647</v>
      </c>
      <c r="E4" t="s">
        <v>496</v>
      </c>
      <c r="F4" t="s">
        <v>510</v>
      </c>
      <c r="G4" t="s">
        <v>514</v>
      </c>
      <c r="H4" t="s">
        <v>632</v>
      </c>
      <c r="I4" t="s">
        <v>519</v>
      </c>
      <c r="J4" t="s">
        <v>766</v>
      </c>
      <c r="K4" t="s">
        <v>762</v>
      </c>
      <c r="L4" t="s">
        <v>699</v>
      </c>
      <c r="M4" t="s">
        <v>548</v>
      </c>
      <c r="N4" t="s">
        <v>675</v>
      </c>
      <c r="O4" t="s">
        <v>552</v>
      </c>
      <c r="P4" t="s">
        <v>836</v>
      </c>
      <c r="Q4" t="s">
        <v>636</v>
      </c>
      <c r="R4" t="s">
        <v>759</v>
      </c>
      <c r="S4" t="s">
        <v>691</v>
      </c>
      <c r="T4" t="s">
        <v>583</v>
      </c>
      <c r="U4" t="s">
        <v>585</v>
      </c>
      <c r="V4" t="s">
        <v>592</v>
      </c>
      <c r="W4" t="s">
        <v>640</v>
      </c>
      <c r="X4" t="s">
        <v>633</v>
      </c>
      <c r="Y4" t="s">
        <v>889</v>
      </c>
      <c r="Z4" t="s">
        <v>795</v>
      </c>
      <c r="AA4" t="s">
        <v>811</v>
      </c>
      <c r="AB4" t="s">
        <v>1006</v>
      </c>
      <c r="AC4" t="s">
        <v>1113</v>
      </c>
      <c r="AD4" t="s">
        <v>750</v>
      </c>
    </row>
    <row r="5" spans="1:30" x14ac:dyDescent="0.3">
      <c r="A5" t="s">
        <v>1103</v>
      </c>
      <c r="B5" t="s">
        <v>481</v>
      </c>
      <c r="C5" t="s">
        <v>485</v>
      </c>
      <c r="D5" t="s">
        <v>490</v>
      </c>
      <c r="E5" t="s">
        <v>620</v>
      </c>
      <c r="F5" t="s">
        <v>733</v>
      </c>
      <c r="G5" t="s">
        <v>513</v>
      </c>
      <c r="H5" t="s">
        <v>515</v>
      </c>
      <c r="I5" t="s">
        <v>744</v>
      </c>
      <c r="J5" t="s">
        <v>765</v>
      </c>
      <c r="K5" t="s">
        <v>532</v>
      </c>
      <c r="L5" t="s">
        <v>542</v>
      </c>
      <c r="M5" t="s">
        <v>635</v>
      </c>
      <c r="N5" t="s">
        <v>1084</v>
      </c>
      <c r="O5" t="s">
        <v>694</v>
      </c>
      <c r="P5" t="s">
        <v>692</v>
      </c>
      <c r="Q5" t="s">
        <v>885</v>
      </c>
      <c r="R5" t="s">
        <v>570</v>
      </c>
      <c r="S5" t="s">
        <v>659</v>
      </c>
      <c r="T5" t="s">
        <v>746</v>
      </c>
      <c r="U5" t="s">
        <v>588</v>
      </c>
      <c r="V5" t="s">
        <v>593</v>
      </c>
      <c r="W5" t="s">
        <v>594</v>
      </c>
      <c r="X5" t="s">
        <v>702</v>
      </c>
      <c r="Y5" t="s">
        <v>888</v>
      </c>
      <c r="Z5" t="s">
        <v>1032</v>
      </c>
      <c r="AA5" t="s">
        <v>826</v>
      </c>
      <c r="AB5" t="s">
        <v>985</v>
      </c>
      <c r="AC5" t="s">
        <v>1093</v>
      </c>
      <c r="AD5" t="s">
        <v>753</v>
      </c>
    </row>
    <row r="6" spans="1:30" x14ac:dyDescent="0.3">
      <c r="A6" t="s">
        <v>1040</v>
      </c>
      <c r="B6" t="s">
        <v>473</v>
      </c>
      <c r="C6" t="s">
        <v>686</v>
      </c>
      <c r="D6" t="s">
        <v>495</v>
      </c>
      <c r="E6" t="s">
        <v>605</v>
      </c>
      <c r="F6" t="s">
        <v>508</v>
      </c>
      <c r="G6" t="s">
        <v>616</v>
      </c>
      <c r="H6" t="s">
        <v>711</v>
      </c>
      <c r="I6" t="s">
        <v>520</v>
      </c>
      <c r="J6" t="s">
        <v>639</v>
      </c>
      <c r="K6" t="s">
        <v>703</v>
      </c>
      <c r="L6" t="s">
        <v>708</v>
      </c>
      <c r="M6" t="s">
        <v>545</v>
      </c>
      <c r="N6" t="s">
        <v>535</v>
      </c>
      <c r="O6" t="s">
        <v>695</v>
      </c>
      <c r="P6" t="s">
        <v>835</v>
      </c>
      <c r="Q6" t="s">
        <v>561</v>
      </c>
      <c r="R6" t="s">
        <v>630</v>
      </c>
      <c r="S6" t="s">
        <v>579</v>
      </c>
      <c r="T6" t="s">
        <v>724</v>
      </c>
      <c r="U6" t="s">
        <v>589</v>
      </c>
      <c r="V6" t="s">
        <v>728</v>
      </c>
      <c r="W6" t="s">
        <v>707</v>
      </c>
      <c r="X6" t="s">
        <v>602</v>
      </c>
      <c r="Y6" t="s">
        <v>898</v>
      </c>
      <c r="Z6" t="s">
        <v>845</v>
      </c>
      <c r="AA6" t="s">
        <v>775</v>
      </c>
      <c r="AB6" t="s">
        <v>1126</v>
      </c>
      <c r="AC6" t="s">
        <v>954</v>
      </c>
      <c r="AD6" t="s">
        <v>754</v>
      </c>
    </row>
    <row r="7" spans="1:30" x14ac:dyDescent="0.3">
      <c r="A7" t="s">
        <v>852</v>
      </c>
      <c r="B7" t="s">
        <v>479</v>
      </c>
      <c r="C7" t="s">
        <v>487</v>
      </c>
      <c r="D7" t="s">
        <v>693</v>
      </c>
      <c r="E7" t="s">
        <v>499</v>
      </c>
      <c r="F7" t="s">
        <v>502</v>
      </c>
      <c r="G7" t="s">
        <v>511</v>
      </c>
      <c r="H7" t="s">
        <v>688</v>
      </c>
      <c r="I7" t="s">
        <v>517</v>
      </c>
      <c r="J7" t="s">
        <v>525</v>
      </c>
      <c r="K7" t="s">
        <v>530</v>
      </c>
      <c r="L7" t="s">
        <v>739</v>
      </c>
      <c r="M7" t="s">
        <v>624</v>
      </c>
      <c r="N7" t="s">
        <v>934</v>
      </c>
      <c r="O7" t="s">
        <v>554</v>
      </c>
      <c r="P7" t="s">
        <v>838</v>
      </c>
      <c r="Q7" t="s">
        <v>719</v>
      </c>
      <c r="R7" t="s">
        <v>619</v>
      </c>
      <c r="S7" t="s">
        <v>578</v>
      </c>
      <c r="T7" t="s">
        <v>632</v>
      </c>
      <c r="U7" t="s">
        <v>587</v>
      </c>
      <c r="V7" t="s">
        <v>713</v>
      </c>
      <c r="W7" t="s">
        <v>615</v>
      </c>
      <c r="X7" t="s">
        <v>637</v>
      </c>
      <c r="Y7" t="s">
        <v>910</v>
      </c>
      <c r="Z7" t="s">
        <v>953</v>
      </c>
      <c r="AA7" t="s">
        <v>752</v>
      </c>
      <c r="AB7" t="s">
        <v>1129</v>
      </c>
      <c r="AC7" t="s">
        <v>969</v>
      </c>
      <c r="AD7" t="s">
        <v>751</v>
      </c>
    </row>
    <row r="8" spans="1:30" x14ac:dyDescent="0.3">
      <c r="A8" t="s">
        <v>869</v>
      </c>
      <c r="B8" t="s">
        <v>478</v>
      </c>
      <c r="C8" t="s">
        <v>486</v>
      </c>
      <c r="D8" t="s">
        <v>731</v>
      </c>
      <c r="E8" t="s">
        <v>623</v>
      </c>
      <c r="F8" t="s">
        <v>505</v>
      </c>
      <c r="G8" t="s">
        <v>651</v>
      </c>
      <c r="H8" t="s">
        <v>584</v>
      </c>
      <c r="I8" t="s">
        <v>521</v>
      </c>
      <c r="J8" t="s">
        <v>741</v>
      </c>
      <c r="K8" t="s">
        <v>533</v>
      </c>
      <c r="L8" t="s">
        <v>540</v>
      </c>
      <c r="N8" t="s">
        <v>747</v>
      </c>
      <c r="P8" t="s">
        <v>610</v>
      </c>
      <c r="Q8" t="s">
        <v>1039</v>
      </c>
      <c r="S8" t="s">
        <v>572</v>
      </c>
      <c r="T8" t="s">
        <v>721</v>
      </c>
      <c r="V8" t="s">
        <v>618</v>
      </c>
      <c r="W8" t="s">
        <v>598</v>
      </c>
      <c r="X8" t="s">
        <v>712</v>
      </c>
      <c r="Y8" t="s">
        <v>605</v>
      </c>
      <c r="Z8" t="s">
        <v>790</v>
      </c>
      <c r="AA8" t="s">
        <v>827</v>
      </c>
      <c r="AB8" t="s">
        <v>1121</v>
      </c>
      <c r="AC8" t="s">
        <v>964</v>
      </c>
      <c r="AD8" t="s">
        <v>716</v>
      </c>
    </row>
    <row r="9" spans="1:30" x14ac:dyDescent="0.3">
      <c r="A9" t="s">
        <v>842</v>
      </c>
      <c r="B9" t="s">
        <v>476</v>
      </c>
      <c r="C9" t="s">
        <v>760</v>
      </c>
      <c r="D9" t="s">
        <v>654</v>
      </c>
      <c r="E9" t="s">
        <v>501</v>
      </c>
      <c r="F9" t="s">
        <v>656</v>
      </c>
      <c r="G9" t="s">
        <v>749</v>
      </c>
      <c r="H9" t="s">
        <v>767</v>
      </c>
      <c r="I9" t="s">
        <v>745</v>
      </c>
      <c r="J9" t="s">
        <v>526</v>
      </c>
      <c r="K9" t="s">
        <v>534</v>
      </c>
      <c r="L9" t="s">
        <v>683</v>
      </c>
      <c r="N9" t="s">
        <v>550</v>
      </c>
      <c r="P9" t="s">
        <v>996</v>
      </c>
      <c r="Q9" t="s">
        <v>564</v>
      </c>
      <c r="S9" t="s">
        <v>646</v>
      </c>
      <c r="T9" t="s">
        <v>584</v>
      </c>
      <c r="V9" t="s">
        <v>590</v>
      </c>
      <c r="W9" t="s">
        <v>596</v>
      </c>
      <c r="X9" t="s">
        <v>599</v>
      </c>
      <c r="Y9" t="s">
        <v>878</v>
      </c>
      <c r="Z9" t="s">
        <v>794</v>
      </c>
      <c r="AA9" t="s">
        <v>1034</v>
      </c>
      <c r="AB9" t="s">
        <v>1007</v>
      </c>
      <c r="AC9" t="s">
        <v>1088</v>
      </c>
      <c r="AD9" t="s">
        <v>641</v>
      </c>
    </row>
    <row r="10" spans="1:30" x14ac:dyDescent="0.3">
      <c r="A10" t="s">
        <v>857</v>
      </c>
      <c r="B10" t="s">
        <v>477</v>
      </c>
      <c r="D10" t="s">
        <v>488</v>
      </c>
      <c r="E10" t="s">
        <v>627</v>
      </c>
      <c r="F10" t="s">
        <v>507</v>
      </c>
      <c r="G10" t="s">
        <v>742</v>
      </c>
      <c r="J10" t="s">
        <v>527</v>
      </c>
      <c r="K10" t="s">
        <v>528</v>
      </c>
      <c r="L10" t="s">
        <v>687</v>
      </c>
      <c r="N10" t="s">
        <v>652</v>
      </c>
      <c r="P10" t="s">
        <v>556</v>
      </c>
      <c r="Q10" t="s">
        <v>701</v>
      </c>
      <c r="S10" t="s">
        <v>574</v>
      </c>
      <c r="T10" t="s">
        <v>714</v>
      </c>
      <c r="W10" t="s">
        <v>685</v>
      </c>
      <c r="X10" t="s">
        <v>634</v>
      </c>
      <c r="Y10" t="s">
        <v>871</v>
      </c>
      <c r="Z10" t="s">
        <v>519</v>
      </c>
      <c r="AA10" t="s">
        <v>825</v>
      </c>
      <c r="AB10" t="s">
        <v>979</v>
      </c>
      <c r="AC10" t="s">
        <v>977</v>
      </c>
    </row>
    <row r="11" spans="1:30" x14ac:dyDescent="0.3">
      <c r="A11" t="s">
        <v>875</v>
      </c>
      <c r="B11" t="s">
        <v>475</v>
      </c>
      <c r="D11" t="s">
        <v>493</v>
      </c>
      <c r="E11" t="s">
        <v>621</v>
      </c>
      <c r="F11" t="s">
        <v>504</v>
      </c>
      <c r="G11" t="s">
        <v>653</v>
      </c>
      <c r="K11" t="s">
        <v>710</v>
      </c>
      <c r="L11" t="s">
        <v>539</v>
      </c>
      <c r="N11" t="s">
        <v>1078</v>
      </c>
      <c r="P11" t="s">
        <v>1102</v>
      </c>
      <c r="Q11" t="s">
        <v>792</v>
      </c>
      <c r="S11" t="s">
        <v>629</v>
      </c>
      <c r="T11" t="s">
        <v>580</v>
      </c>
      <c r="X11" t="s">
        <v>645</v>
      </c>
      <c r="Y11" t="s">
        <v>900</v>
      </c>
      <c r="Z11" t="s">
        <v>803</v>
      </c>
      <c r="AA11" t="s">
        <v>814</v>
      </c>
      <c r="AB11" t="s">
        <v>1060</v>
      </c>
      <c r="AC11" t="s">
        <v>976</v>
      </c>
    </row>
    <row r="12" spans="1:30" x14ac:dyDescent="0.3">
      <c r="A12" t="s">
        <v>470</v>
      </c>
      <c r="B12" t="s">
        <v>755</v>
      </c>
      <c r="D12" t="s">
        <v>494</v>
      </c>
      <c r="E12" t="s">
        <v>500</v>
      </c>
      <c r="F12" t="s">
        <v>506</v>
      </c>
      <c r="G12" t="s">
        <v>737</v>
      </c>
      <c r="K12" t="s">
        <v>531</v>
      </c>
      <c r="L12" t="s">
        <v>543</v>
      </c>
      <c r="N12" t="s">
        <v>748</v>
      </c>
      <c r="P12" t="s">
        <v>683</v>
      </c>
      <c r="Q12" t="s">
        <v>631</v>
      </c>
      <c r="S12" t="s">
        <v>660</v>
      </c>
      <c r="X12" t="s">
        <v>603</v>
      </c>
      <c r="Y12" t="s">
        <v>890</v>
      </c>
      <c r="Z12" t="s">
        <v>783</v>
      </c>
      <c r="AA12" t="s">
        <v>831</v>
      </c>
      <c r="AB12" t="s">
        <v>1124</v>
      </c>
      <c r="AC12" t="s">
        <v>1048</v>
      </c>
    </row>
    <row r="13" spans="1:30" x14ac:dyDescent="0.3">
      <c r="A13" t="s">
        <v>828</v>
      </c>
      <c r="D13" t="s">
        <v>492</v>
      </c>
      <c r="E13" t="s">
        <v>644</v>
      </c>
      <c r="L13" t="s">
        <v>538</v>
      </c>
      <c r="N13" t="s">
        <v>921</v>
      </c>
      <c r="P13" t="s">
        <v>834</v>
      </c>
      <c r="Q13" t="s">
        <v>736</v>
      </c>
      <c r="S13" t="s">
        <v>730</v>
      </c>
      <c r="Y13" t="s">
        <v>1042</v>
      </c>
      <c r="Z13" t="s">
        <v>552</v>
      </c>
      <c r="AA13" t="s">
        <v>1031</v>
      </c>
      <c r="AB13" t="s">
        <v>1044</v>
      </c>
      <c r="AC13" t="s">
        <v>952</v>
      </c>
    </row>
    <row r="14" spans="1:30" x14ac:dyDescent="0.3">
      <c r="A14" t="s">
        <v>879</v>
      </c>
      <c r="E14" t="s">
        <v>498</v>
      </c>
      <c r="L14" t="s">
        <v>541</v>
      </c>
      <c r="N14" t="s">
        <v>622</v>
      </c>
      <c r="P14" t="s">
        <v>609</v>
      </c>
      <c r="Q14" t="s">
        <v>913</v>
      </c>
      <c r="S14" t="s">
        <v>690</v>
      </c>
      <c r="Y14" t="s">
        <v>928</v>
      </c>
      <c r="Z14" t="s">
        <v>788</v>
      </c>
      <c r="AA14" t="s">
        <v>816</v>
      </c>
      <c r="AB14" t="s">
        <v>1133</v>
      </c>
      <c r="AC14" t="s">
        <v>1087</v>
      </c>
    </row>
    <row r="15" spans="1:30" x14ac:dyDescent="0.3">
      <c r="A15" t="s">
        <v>697</v>
      </c>
      <c r="L15" t="s">
        <v>544</v>
      </c>
      <c r="N15" t="s">
        <v>865</v>
      </c>
      <c r="P15" t="s">
        <v>726</v>
      </c>
      <c r="Q15" t="s">
        <v>681</v>
      </c>
      <c r="S15" t="s">
        <v>575</v>
      </c>
      <c r="Y15" t="s">
        <v>915</v>
      </c>
      <c r="Z15" t="s">
        <v>779</v>
      </c>
      <c r="AA15" t="s">
        <v>829</v>
      </c>
      <c r="AB15" t="s">
        <v>1020</v>
      </c>
      <c r="AC15" t="s">
        <v>1085</v>
      </c>
    </row>
    <row r="16" spans="1:30" x14ac:dyDescent="0.3">
      <c r="A16" t="s">
        <v>912</v>
      </c>
      <c r="L16" t="s">
        <v>536</v>
      </c>
      <c r="N16" t="s">
        <v>735</v>
      </c>
      <c r="P16" t="s">
        <v>612</v>
      </c>
      <c r="Q16" t="s">
        <v>565</v>
      </c>
      <c r="S16" t="s">
        <v>727</v>
      </c>
      <c r="Y16" t="s">
        <v>938</v>
      </c>
      <c r="Z16" t="s">
        <v>778</v>
      </c>
      <c r="AA16" t="s">
        <v>832</v>
      </c>
      <c r="AB16" t="s">
        <v>983</v>
      </c>
      <c r="AC16" t="s">
        <v>1091</v>
      </c>
    </row>
    <row r="17" spans="1:29" x14ac:dyDescent="0.3">
      <c r="A17" t="s">
        <v>782</v>
      </c>
      <c r="L17" t="s">
        <v>715</v>
      </c>
      <c r="N17" t="s">
        <v>884</v>
      </c>
      <c r="P17" t="s">
        <v>626</v>
      </c>
      <c r="Q17" t="s">
        <v>764</v>
      </c>
      <c r="S17" t="s">
        <v>576</v>
      </c>
      <c r="Y17" t="s">
        <v>917</v>
      </c>
      <c r="Z17" t="s">
        <v>787</v>
      </c>
      <c r="AA17" t="s">
        <v>830</v>
      </c>
      <c r="AB17" t="s">
        <v>1013</v>
      </c>
      <c r="AC17" t="s">
        <v>1089</v>
      </c>
    </row>
    <row r="18" spans="1:29" x14ac:dyDescent="0.3">
      <c r="A18" t="s">
        <v>848</v>
      </c>
      <c r="N18" t="s">
        <v>729</v>
      </c>
      <c r="P18" t="s">
        <v>608</v>
      </c>
      <c r="Q18" t="s">
        <v>560</v>
      </c>
      <c r="Y18" t="s">
        <v>859</v>
      </c>
      <c r="Z18" t="s">
        <v>822</v>
      </c>
      <c r="AA18" t="s">
        <v>471</v>
      </c>
      <c r="AB18" t="s">
        <v>1012</v>
      </c>
      <c r="AC18" t="s">
        <v>947</v>
      </c>
    </row>
    <row r="19" spans="1:29" x14ac:dyDescent="0.3">
      <c r="A19" t="s">
        <v>738</v>
      </c>
      <c r="N19" t="s">
        <v>768</v>
      </c>
      <c r="P19" t="s">
        <v>723</v>
      </c>
      <c r="Q19" t="s">
        <v>563</v>
      </c>
      <c r="Y19" t="s">
        <v>839</v>
      </c>
      <c r="Z19" t="s">
        <v>1101</v>
      </c>
      <c r="AA19" t="s">
        <v>824</v>
      </c>
      <c r="AB19" t="s">
        <v>1147</v>
      </c>
      <c r="AC19" t="s">
        <v>958</v>
      </c>
    </row>
    <row r="20" spans="1:29" x14ac:dyDescent="0.3">
      <c r="A20" t="s">
        <v>793</v>
      </c>
      <c r="N20" t="s">
        <v>1109</v>
      </c>
      <c r="P20" t="s">
        <v>833</v>
      </c>
      <c r="Q20" t="s">
        <v>742</v>
      </c>
      <c r="Y20" t="s">
        <v>929</v>
      </c>
      <c r="Z20" t="s">
        <v>791</v>
      </c>
      <c r="AA20" t="s">
        <v>819</v>
      </c>
      <c r="AB20" t="s">
        <v>1037</v>
      </c>
      <c r="AC20" t="s">
        <v>966</v>
      </c>
    </row>
    <row r="21" spans="1:29" x14ac:dyDescent="0.3">
      <c r="A21" t="s">
        <v>725</v>
      </c>
      <c r="N21" t="s">
        <v>682</v>
      </c>
      <c r="P21" t="s">
        <v>617</v>
      </c>
      <c r="Q21" t="s">
        <v>757</v>
      </c>
      <c r="Y21" t="s">
        <v>750</v>
      </c>
      <c r="Z21" t="s">
        <v>772</v>
      </c>
      <c r="AA21" t="s">
        <v>818</v>
      </c>
      <c r="AB21" t="s">
        <v>1115</v>
      </c>
      <c r="AC21" t="s">
        <v>950</v>
      </c>
    </row>
    <row r="22" spans="1:29" x14ac:dyDescent="0.3">
      <c r="A22" t="s">
        <v>864</v>
      </c>
      <c r="N22" t="s">
        <v>756</v>
      </c>
      <c r="P22" t="s">
        <v>611</v>
      </c>
      <c r="Q22" t="s">
        <v>698</v>
      </c>
      <c r="Y22" t="s">
        <v>903</v>
      </c>
      <c r="Z22" t="s">
        <v>789</v>
      </c>
      <c r="AA22" t="s">
        <v>936</v>
      </c>
      <c r="AB22" t="s">
        <v>1137</v>
      </c>
      <c r="AC22" t="s">
        <v>1056</v>
      </c>
    </row>
    <row r="23" spans="1:29" x14ac:dyDescent="0.3">
      <c r="A23" t="s">
        <v>681</v>
      </c>
      <c r="N23" t="s">
        <v>926</v>
      </c>
      <c r="P23" t="s">
        <v>607</v>
      </c>
      <c r="Q23" t="s">
        <v>944</v>
      </c>
      <c r="Y23" t="s">
        <v>886</v>
      </c>
      <c r="Z23" t="s">
        <v>812</v>
      </c>
      <c r="AA23" t="s">
        <v>815</v>
      </c>
      <c r="AB23" t="s">
        <v>1046</v>
      </c>
      <c r="AC23" t="s">
        <v>957</v>
      </c>
    </row>
    <row r="24" spans="1:29" x14ac:dyDescent="0.3">
      <c r="A24" t="s">
        <v>622</v>
      </c>
      <c r="N24" t="s">
        <v>696</v>
      </c>
      <c r="P24" t="s">
        <v>740</v>
      </c>
      <c r="Q24" t="s">
        <v>562</v>
      </c>
      <c r="Y24" t="s">
        <v>1106</v>
      </c>
      <c r="Z24" t="s">
        <v>847</v>
      </c>
      <c r="AA24" t="s">
        <v>817</v>
      </c>
      <c r="AB24" t="s">
        <v>1047</v>
      </c>
      <c r="AC24" t="s">
        <v>951</v>
      </c>
    </row>
    <row r="25" spans="1:29" x14ac:dyDescent="0.3">
      <c r="A25" t="s">
        <v>764</v>
      </c>
      <c r="N25" t="s">
        <v>705</v>
      </c>
      <c r="P25" t="s">
        <v>625</v>
      </c>
      <c r="Q25" t="s">
        <v>558</v>
      </c>
      <c r="Y25" t="s">
        <v>895</v>
      </c>
      <c r="Z25" t="s">
        <v>806</v>
      </c>
      <c r="AA25" t="s">
        <v>981</v>
      </c>
      <c r="AB25" t="s">
        <v>1117</v>
      </c>
      <c r="AC25" t="s">
        <v>961</v>
      </c>
    </row>
    <row r="26" spans="1:29" x14ac:dyDescent="0.3">
      <c r="A26" t="s">
        <v>472</v>
      </c>
      <c r="N26" t="s">
        <v>1035</v>
      </c>
      <c r="P26" t="s">
        <v>743</v>
      </c>
      <c r="Q26" t="s">
        <v>567</v>
      </c>
      <c r="Y26" t="s">
        <v>876</v>
      </c>
      <c r="Z26" t="s">
        <v>798</v>
      </c>
      <c r="AA26" t="s">
        <v>780</v>
      </c>
      <c r="AB26" t="s">
        <v>1145</v>
      </c>
      <c r="AC26" t="s">
        <v>968</v>
      </c>
    </row>
    <row r="27" spans="1:29" x14ac:dyDescent="0.3">
      <c r="A27" t="s">
        <v>471</v>
      </c>
      <c r="N27" t="s">
        <v>641</v>
      </c>
      <c r="P27" t="s">
        <v>734</v>
      </c>
      <c r="Q27" t="s">
        <v>709</v>
      </c>
      <c r="Y27" t="s">
        <v>933</v>
      </c>
      <c r="Z27" t="s">
        <v>956</v>
      </c>
      <c r="AA27" t="s">
        <v>596</v>
      </c>
      <c r="AB27" t="s">
        <v>1140</v>
      </c>
      <c r="AC27" t="s">
        <v>949</v>
      </c>
    </row>
    <row r="28" spans="1:29" x14ac:dyDescent="0.3">
      <c r="A28" t="s">
        <v>897</v>
      </c>
      <c r="Q28" t="s">
        <v>566</v>
      </c>
      <c r="Y28" t="s">
        <v>1036</v>
      </c>
      <c r="Z28" t="s">
        <v>1100</v>
      </c>
      <c r="AA28" t="s">
        <v>810</v>
      </c>
      <c r="AB28" t="s">
        <v>1132</v>
      </c>
      <c r="AC28" t="s">
        <v>1054</v>
      </c>
    </row>
    <row r="29" spans="1:29" x14ac:dyDescent="0.3">
      <c r="A29" t="s">
        <v>718</v>
      </c>
      <c r="Q29" t="s">
        <v>943</v>
      </c>
      <c r="Y29" t="s">
        <v>1098</v>
      </c>
      <c r="Z29" t="s">
        <v>808</v>
      </c>
      <c r="AA29" t="s">
        <v>823</v>
      </c>
      <c r="AB29" t="s">
        <v>1075</v>
      </c>
      <c r="AC29" t="s">
        <v>972</v>
      </c>
    </row>
    <row r="30" spans="1:29" x14ac:dyDescent="0.3">
      <c r="A30" t="s">
        <v>1021</v>
      </c>
      <c r="Q30" t="s">
        <v>941</v>
      </c>
      <c r="Y30" t="s">
        <v>1110</v>
      </c>
      <c r="Z30" t="s">
        <v>786</v>
      </c>
      <c r="AA30" t="s">
        <v>769</v>
      </c>
      <c r="AB30" t="s">
        <v>997</v>
      </c>
      <c r="AC30" t="s">
        <v>1051</v>
      </c>
    </row>
    <row r="31" spans="1:29" x14ac:dyDescent="0.3">
      <c r="A31" t="s">
        <v>758</v>
      </c>
      <c r="Q31" t="s">
        <v>1038</v>
      </c>
      <c r="Y31" t="s">
        <v>530</v>
      </c>
      <c r="Z31" t="s">
        <v>1001</v>
      </c>
      <c r="AA31" t="s">
        <v>893</v>
      </c>
      <c r="AB31" t="s">
        <v>1080</v>
      </c>
      <c r="AC31" t="s">
        <v>1112</v>
      </c>
    </row>
    <row r="32" spans="1:29" x14ac:dyDescent="0.3">
      <c r="A32" t="s">
        <v>870</v>
      </c>
      <c r="Y32" t="s">
        <v>916</v>
      </c>
      <c r="Z32" t="s">
        <v>862</v>
      </c>
      <c r="AB32" t="s">
        <v>1150</v>
      </c>
      <c r="AC32" t="s">
        <v>1111</v>
      </c>
    </row>
    <row r="33" spans="1:29" x14ac:dyDescent="0.3">
      <c r="A33" t="s">
        <v>849</v>
      </c>
      <c r="Y33" t="s">
        <v>907</v>
      </c>
      <c r="Z33" t="s">
        <v>846</v>
      </c>
      <c r="AB33" t="s">
        <v>1153</v>
      </c>
      <c r="AC33" t="s">
        <v>967</v>
      </c>
    </row>
    <row r="34" spans="1:29" x14ac:dyDescent="0.3">
      <c r="A34" t="s">
        <v>858</v>
      </c>
      <c r="Y34" t="s">
        <v>1026</v>
      </c>
      <c r="Z34" t="s">
        <v>799</v>
      </c>
      <c r="AB34" t="s">
        <v>1148</v>
      </c>
      <c r="AC34" t="s">
        <v>960</v>
      </c>
    </row>
    <row r="35" spans="1:29" x14ac:dyDescent="0.3">
      <c r="A35" t="s">
        <v>855</v>
      </c>
      <c r="Y35" t="s">
        <v>891</v>
      </c>
      <c r="Z35" t="s">
        <v>805</v>
      </c>
      <c r="AB35" t="s">
        <v>1155</v>
      </c>
      <c r="AC35" t="s">
        <v>965</v>
      </c>
    </row>
    <row r="36" spans="1:29" x14ac:dyDescent="0.3">
      <c r="A36" t="s">
        <v>866</v>
      </c>
      <c r="Y36" t="s">
        <v>931</v>
      </c>
      <c r="Z36" t="s">
        <v>1029</v>
      </c>
      <c r="AB36" t="s">
        <v>1064</v>
      </c>
      <c r="AC36" t="s">
        <v>945</v>
      </c>
    </row>
    <row r="37" spans="1:29" x14ac:dyDescent="0.3">
      <c r="A37" t="s">
        <v>1096</v>
      </c>
      <c r="Y37" t="s">
        <v>919</v>
      </c>
      <c r="Z37" t="s">
        <v>802</v>
      </c>
      <c r="AB37" t="s">
        <v>1157</v>
      </c>
      <c r="AC37" t="s">
        <v>1086</v>
      </c>
    </row>
    <row r="38" spans="1:29" x14ac:dyDescent="0.3">
      <c r="A38" t="s">
        <v>856</v>
      </c>
      <c r="Y38" t="s">
        <v>854</v>
      </c>
      <c r="Z38" t="s">
        <v>896</v>
      </c>
      <c r="AB38" t="s">
        <v>1136</v>
      </c>
      <c r="AC38" t="s">
        <v>1055</v>
      </c>
    </row>
    <row r="39" spans="1:29" x14ac:dyDescent="0.3">
      <c r="A39" t="s">
        <v>809</v>
      </c>
      <c r="Y39" t="s">
        <v>902</v>
      </c>
      <c r="Z39" t="s">
        <v>517</v>
      </c>
      <c r="AB39" t="s">
        <v>1152</v>
      </c>
      <c r="AC39" t="s">
        <v>974</v>
      </c>
    </row>
    <row r="40" spans="1:29" x14ac:dyDescent="0.3">
      <c r="A40" t="s">
        <v>880</v>
      </c>
      <c r="Y40" t="s">
        <v>881</v>
      </c>
      <c r="Z40" t="s">
        <v>797</v>
      </c>
      <c r="AB40" t="s">
        <v>1082</v>
      </c>
      <c r="AC40" t="s">
        <v>1057</v>
      </c>
    </row>
    <row r="41" spans="1:29" x14ac:dyDescent="0.3">
      <c r="A41" t="s">
        <v>861</v>
      </c>
      <c r="Y41" t="s">
        <v>887</v>
      </c>
      <c r="Z41" t="s">
        <v>781</v>
      </c>
      <c r="AB41" t="s">
        <v>1144</v>
      </c>
      <c r="AC41" t="s">
        <v>962</v>
      </c>
    </row>
    <row r="42" spans="1:29" x14ac:dyDescent="0.3">
      <c r="A42" t="s">
        <v>1105</v>
      </c>
      <c r="Y42" t="s">
        <v>1015</v>
      </c>
      <c r="Z42" t="s">
        <v>796</v>
      </c>
      <c r="AB42" t="s">
        <v>984</v>
      </c>
      <c r="AC42" t="s">
        <v>1092</v>
      </c>
    </row>
    <row r="43" spans="1:29" x14ac:dyDescent="0.3">
      <c r="A43" t="s">
        <v>863</v>
      </c>
      <c r="Y43" t="s">
        <v>909</v>
      </c>
      <c r="Z43" t="s">
        <v>813</v>
      </c>
      <c r="AB43" t="s">
        <v>1138</v>
      </c>
      <c r="AC43" t="s">
        <v>1052</v>
      </c>
    </row>
    <row r="44" spans="1:29" x14ac:dyDescent="0.3">
      <c r="A44" t="s">
        <v>507</v>
      </c>
      <c r="Y44" t="s">
        <v>843</v>
      </c>
      <c r="Z44" t="s">
        <v>993</v>
      </c>
      <c r="AB44" t="s">
        <v>987</v>
      </c>
      <c r="AC44" t="s">
        <v>948</v>
      </c>
    </row>
    <row r="45" spans="1:29" x14ac:dyDescent="0.3">
      <c r="A45" t="s">
        <v>1097</v>
      </c>
      <c r="Y45" t="s">
        <v>873</v>
      </c>
      <c r="Z45" t="s">
        <v>801</v>
      </c>
      <c r="AB45" t="s">
        <v>992</v>
      </c>
      <c r="AC45" t="s">
        <v>1049</v>
      </c>
    </row>
    <row r="46" spans="1:29" x14ac:dyDescent="0.3">
      <c r="A46" t="s">
        <v>867</v>
      </c>
      <c r="Y46" t="s">
        <v>918</v>
      </c>
      <c r="Z46" t="s">
        <v>617</v>
      </c>
      <c r="AB46" t="s">
        <v>1151</v>
      </c>
      <c r="AC46" t="s">
        <v>1050</v>
      </c>
    </row>
    <row r="47" spans="1:29" x14ac:dyDescent="0.3">
      <c r="A47" t="s">
        <v>700</v>
      </c>
      <c r="Y47" t="s">
        <v>930</v>
      </c>
      <c r="Z47" t="s">
        <v>800</v>
      </c>
      <c r="AB47" t="s">
        <v>1073</v>
      </c>
      <c r="AC47" t="s">
        <v>959</v>
      </c>
    </row>
    <row r="48" spans="1:29" x14ac:dyDescent="0.3">
      <c r="A48" t="s">
        <v>1041</v>
      </c>
      <c r="Y48" t="s">
        <v>1043</v>
      </c>
      <c r="Z48" t="s">
        <v>777</v>
      </c>
      <c r="AB48" t="s">
        <v>1074</v>
      </c>
      <c r="AC48" t="s">
        <v>963</v>
      </c>
    </row>
    <row r="49" spans="1:29" x14ac:dyDescent="0.3">
      <c r="A49" t="s">
        <v>850</v>
      </c>
      <c r="Y49" t="s">
        <v>911</v>
      </c>
      <c r="Z49" t="s">
        <v>774</v>
      </c>
      <c r="AB49" t="s">
        <v>1024</v>
      </c>
      <c r="AC49" t="s">
        <v>970</v>
      </c>
    </row>
    <row r="50" spans="1:29" x14ac:dyDescent="0.3">
      <c r="A50" t="s">
        <v>492</v>
      </c>
      <c r="Y50" t="s">
        <v>695</v>
      </c>
      <c r="Z50" t="s">
        <v>804</v>
      </c>
      <c r="AB50" t="s">
        <v>998</v>
      </c>
      <c r="AC50" t="s">
        <v>971</v>
      </c>
    </row>
    <row r="51" spans="1:29" x14ac:dyDescent="0.3">
      <c r="A51" t="s">
        <v>840</v>
      </c>
      <c r="Y51" t="s">
        <v>1028</v>
      </c>
      <c r="Z51" t="s">
        <v>776</v>
      </c>
      <c r="AB51" t="s">
        <v>1016</v>
      </c>
      <c r="AC51" t="s">
        <v>955</v>
      </c>
    </row>
    <row r="52" spans="1:29" x14ac:dyDescent="0.3">
      <c r="A52" t="s">
        <v>940</v>
      </c>
      <c r="Y52" t="s">
        <v>883</v>
      </c>
      <c r="Z52" t="s">
        <v>743</v>
      </c>
      <c r="AB52" t="s">
        <v>1122</v>
      </c>
      <c r="AC52" t="s">
        <v>973</v>
      </c>
    </row>
    <row r="53" spans="1:29" x14ac:dyDescent="0.3">
      <c r="A53" t="s">
        <v>851</v>
      </c>
      <c r="Y53" t="s">
        <v>904</v>
      </c>
      <c r="Z53" t="s">
        <v>536</v>
      </c>
      <c r="AB53" t="s">
        <v>1120</v>
      </c>
      <c r="AC53" t="s">
        <v>975</v>
      </c>
    </row>
    <row r="54" spans="1:29" x14ac:dyDescent="0.3">
      <c r="Y54" t="s">
        <v>905</v>
      </c>
      <c r="Z54" t="s">
        <v>784</v>
      </c>
      <c r="AB54" t="s">
        <v>1058</v>
      </c>
      <c r="AC54" t="s">
        <v>1094</v>
      </c>
    </row>
    <row r="55" spans="1:29" x14ac:dyDescent="0.3">
      <c r="Y55" t="s">
        <v>923</v>
      </c>
      <c r="Z55" t="s">
        <v>841</v>
      </c>
      <c r="AB55" t="s">
        <v>1142</v>
      </c>
    </row>
    <row r="56" spans="1:29" x14ac:dyDescent="0.3">
      <c r="Y56" t="s">
        <v>942</v>
      </c>
      <c r="AB56" t="s">
        <v>1019</v>
      </c>
    </row>
    <row r="57" spans="1:29" x14ac:dyDescent="0.3">
      <c r="Y57" t="s">
        <v>476</v>
      </c>
      <c r="AB57" t="s">
        <v>1130</v>
      </c>
    </row>
    <row r="58" spans="1:29" x14ac:dyDescent="0.3">
      <c r="Y58" t="s">
        <v>901</v>
      </c>
      <c r="AB58" t="s">
        <v>1118</v>
      </c>
    </row>
    <row r="59" spans="1:29" x14ac:dyDescent="0.3">
      <c r="Y59" t="s">
        <v>914</v>
      </c>
      <c r="AB59" t="s">
        <v>1062</v>
      </c>
    </row>
    <row r="60" spans="1:29" x14ac:dyDescent="0.3">
      <c r="Y60" t="s">
        <v>494</v>
      </c>
      <c r="AB60" t="s">
        <v>1069</v>
      </c>
    </row>
    <row r="61" spans="1:29" x14ac:dyDescent="0.3">
      <c r="Y61" t="s">
        <v>937</v>
      </c>
      <c r="AB61" t="s">
        <v>1107</v>
      </c>
    </row>
    <row r="62" spans="1:29" x14ac:dyDescent="0.3">
      <c r="Y62" t="s">
        <v>927</v>
      </c>
      <c r="AB62" t="s">
        <v>1149</v>
      </c>
    </row>
    <row r="63" spans="1:29" x14ac:dyDescent="0.3">
      <c r="Y63" t="s">
        <v>1108</v>
      </c>
      <c r="AB63" t="s">
        <v>1072</v>
      </c>
    </row>
    <row r="64" spans="1:29" x14ac:dyDescent="0.3">
      <c r="Y64" t="s">
        <v>751</v>
      </c>
      <c r="AB64" t="s">
        <v>1017</v>
      </c>
    </row>
    <row r="65" spans="25:28" x14ac:dyDescent="0.3">
      <c r="Y65" t="s">
        <v>860</v>
      </c>
      <c r="AB65" t="s">
        <v>1095</v>
      </c>
    </row>
    <row r="66" spans="25:28" x14ac:dyDescent="0.3">
      <c r="Y66" t="s">
        <v>874</v>
      </c>
      <c r="AB66" t="s">
        <v>986</v>
      </c>
    </row>
    <row r="67" spans="25:28" x14ac:dyDescent="0.3">
      <c r="Y67" t="s">
        <v>925</v>
      </c>
      <c r="AB67" t="s">
        <v>1127</v>
      </c>
    </row>
    <row r="68" spans="25:28" x14ac:dyDescent="0.3">
      <c r="Y68" t="s">
        <v>932</v>
      </c>
      <c r="AB68" t="s">
        <v>1004</v>
      </c>
    </row>
    <row r="69" spans="25:28" x14ac:dyDescent="0.3">
      <c r="Y69" t="s">
        <v>935</v>
      </c>
      <c r="AB69" t="s">
        <v>1119</v>
      </c>
    </row>
    <row r="70" spans="25:28" x14ac:dyDescent="0.3">
      <c r="Y70" t="s">
        <v>716</v>
      </c>
      <c r="AB70" t="s">
        <v>1023</v>
      </c>
    </row>
    <row r="71" spans="25:28" x14ac:dyDescent="0.3">
      <c r="Y71" t="s">
        <v>877</v>
      </c>
      <c r="AB71" t="s">
        <v>1083</v>
      </c>
    </row>
    <row r="72" spans="25:28" x14ac:dyDescent="0.3">
      <c r="Y72" t="s">
        <v>894</v>
      </c>
      <c r="AB72" t="s">
        <v>1033</v>
      </c>
    </row>
    <row r="73" spans="25:28" x14ac:dyDescent="0.3">
      <c r="Y73" t="s">
        <v>906</v>
      </c>
      <c r="AB73" t="s">
        <v>660</v>
      </c>
    </row>
    <row r="74" spans="25:28" x14ac:dyDescent="0.3">
      <c r="Y74" t="s">
        <v>924</v>
      </c>
      <c r="AB74" t="s">
        <v>1061</v>
      </c>
    </row>
    <row r="75" spans="25:28" x14ac:dyDescent="0.3">
      <c r="Y75" t="s">
        <v>872</v>
      </c>
      <c r="AB75" t="s">
        <v>1065</v>
      </c>
    </row>
    <row r="76" spans="25:28" x14ac:dyDescent="0.3">
      <c r="Y76" t="s">
        <v>908</v>
      </c>
      <c r="AB76" t="s">
        <v>1066</v>
      </c>
    </row>
    <row r="77" spans="25:28" x14ac:dyDescent="0.3">
      <c r="Y77" t="s">
        <v>1041</v>
      </c>
      <c r="AB77" t="s">
        <v>1008</v>
      </c>
    </row>
    <row r="78" spans="25:28" x14ac:dyDescent="0.3">
      <c r="Y78" t="s">
        <v>922</v>
      </c>
      <c r="AB78" t="s">
        <v>1002</v>
      </c>
    </row>
    <row r="79" spans="25:28" x14ac:dyDescent="0.3">
      <c r="Y79" t="s">
        <v>899</v>
      </c>
      <c r="AB79" t="s">
        <v>982</v>
      </c>
    </row>
    <row r="80" spans="25:28" x14ac:dyDescent="0.3">
      <c r="Y80" t="s">
        <v>882</v>
      </c>
      <c r="AB80" t="s">
        <v>1131</v>
      </c>
    </row>
    <row r="81" spans="28:28" x14ac:dyDescent="0.3">
      <c r="AB81" t="s">
        <v>1143</v>
      </c>
    </row>
    <row r="82" spans="28:28" x14ac:dyDescent="0.3">
      <c r="AB82" t="s">
        <v>995</v>
      </c>
    </row>
    <row r="83" spans="28:28" x14ac:dyDescent="0.3">
      <c r="AB83" t="s">
        <v>978</v>
      </c>
    </row>
    <row r="84" spans="28:28" x14ac:dyDescent="0.3">
      <c r="AB84" t="s">
        <v>1059</v>
      </c>
    </row>
    <row r="85" spans="28:28" x14ac:dyDescent="0.3">
      <c r="AB85" t="s">
        <v>1011</v>
      </c>
    </row>
    <row r="86" spans="28:28" x14ac:dyDescent="0.3">
      <c r="AB86" t="s">
        <v>989</v>
      </c>
    </row>
    <row r="87" spans="28:28" x14ac:dyDescent="0.3">
      <c r="AB87" t="s">
        <v>1022</v>
      </c>
    </row>
    <row r="88" spans="28:28" x14ac:dyDescent="0.3">
      <c r="AB88" t="s">
        <v>1018</v>
      </c>
    </row>
    <row r="89" spans="28:28" x14ac:dyDescent="0.3">
      <c r="AB89" t="s">
        <v>1139</v>
      </c>
    </row>
    <row r="90" spans="28:28" x14ac:dyDescent="0.3">
      <c r="AB90" t="s">
        <v>1079</v>
      </c>
    </row>
    <row r="91" spans="28:28" x14ac:dyDescent="0.3">
      <c r="AB91" t="s">
        <v>1025</v>
      </c>
    </row>
    <row r="92" spans="28:28" x14ac:dyDescent="0.3">
      <c r="AB92" t="s">
        <v>990</v>
      </c>
    </row>
    <row r="93" spans="28:28" x14ac:dyDescent="0.3">
      <c r="AB93" t="s">
        <v>1070</v>
      </c>
    </row>
    <row r="94" spans="28:28" x14ac:dyDescent="0.3">
      <c r="AB94" t="s">
        <v>1003</v>
      </c>
    </row>
    <row r="95" spans="28:28" x14ac:dyDescent="0.3">
      <c r="AB95" t="s">
        <v>754</v>
      </c>
    </row>
    <row r="96" spans="28:28" x14ac:dyDescent="0.3">
      <c r="AB96" t="s">
        <v>1104</v>
      </c>
    </row>
    <row r="97" spans="28:28" x14ac:dyDescent="0.3">
      <c r="AB97" t="s">
        <v>1010</v>
      </c>
    </row>
    <row r="98" spans="28:28" x14ac:dyDescent="0.3">
      <c r="AB98" t="s">
        <v>1154</v>
      </c>
    </row>
    <row r="99" spans="28:28" x14ac:dyDescent="0.3">
      <c r="AB99" t="s">
        <v>1063</v>
      </c>
    </row>
    <row r="100" spans="28:28" x14ac:dyDescent="0.3">
      <c r="AB100" t="s">
        <v>1071</v>
      </c>
    </row>
    <row r="101" spans="28:28" x14ac:dyDescent="0.3">
      <c r="AB101" t="s">
        <v>1114</v>
      </c>
    </row>
    <row r="102" spans="28:28" x14ac:dyDescent="0.3">
      <c r="AB102" t="s">
        <v>1000</v>
      </c>
    </row>
    <row r="103" spans="28:28" x14ac:dyDescent="0.3">
      <c r="AB103" t="s">
        <v>1146</v>
      </c>
    </row>
    <row r="104" spans="28:28" x14ac:dyDescent="0.3">
      <c r="AB104" t="s">
        <v>1116</v>
      </c>
    </row>
    <row r="105" spans="28:28" x14ac:dyDescent="0.3">
      <c r="AB105" t="s">
        <v>634</v>
      </c>
    </row>
    <row r="106" spans="28:28" x14ac:dyDescent="0.3">
      <c r="AB106" t="s">
        <v>487</v>
      </c>
    </row>
    <row r="107" spans="28:28" x14ac:dyDescent="0.3">
      <c r="AB107" t="s">
        <v>980</v>
      </c>
    </row>
    <row r="108" spans="28:28" x14ac:dyDescent="0.3">
      <c r="AB108" t="s">
        <v>1123</v>
      </c>
    </row>
    <row r="109" spans="28:28" x14ac:dyDescent="0.3">
      <c r="AB109" t="s">
        <v>1125</v>
      </c>
    </row>
    <row r="110" spans="28:28" x14ac:dyDescent="0.3">
      <c r="AB110" t="s">
        <v>1141</v>
      </c>
    </row>
    <row r="111" spans="28:28" x14ac:dyDescent="0.3">
      <c r="AB111" t="s">
        <v>1030</v>
      </c>
    </row>
    <row r="112" spans="28:28" x14ac:dyDescent="0.3">
      <c r="AB112" t="s">
        <v>988</v>
      </c>
    </row>
    <row r="113" spans="28:28" x14ac:dyDescent="0.3">
      <c r="AB113" t="s">
        <v>1158</v>
      </c>
    </row>
    <row r="114" spans="28:28" x14ac:dyDescent="0.3">
      <c r="AB114" t="s">
        <v>1128</v>
      </c>
    </row>
    <row r="115" spans="28:28" x14ac:dyDescent="0.3">
      <c r="AB115" t="s">
        <v>1081</v>
      </c>
    </row>
    <row r="116" spans="28:28" x14ac:dyDescent="0.3">
      <c r="AB116" t="s">
        <v>1081</v>
      </c>
    </row>
    <row r="117" spans="28:28" x14ac:dyDescent="0.3">
      <c r="AB117" t="s">
        <v>1108</v>
      </c>
    </row>
    <row r="118" spans="28:28" x14ac:dyDescent="0.3">
      <c r="AB118" t="s">
        <v>1009</v>
      </c>
    </row>
    <row r="119" spans="28:28" x14ac:dyDescent="0.3">
      <c r="AB119" t="s">
        <v>1134</v>
      </c>
    </row>
    <row r="120" spans="28:28" x14ac:dyDescent="0.3">
      <c r="AB120" t="s">
        <v>1135</v>
      </c>
    </row>
    <row r="121" spans="28:28" x14ac:dyDescent="0.3">
      <c r="AB121" t="s">
        <v>1067</v>
      </c>
    </row>
    <row r="122" spans="28:28" x14ac:dyDescent="0.3">
      <c r="AB122" t="s">
        <v>991</v>
      </c>
    </row>
    <row r="123" spans="28:28" x14ac:dyDescent="0.3">
      <c r="AB123" t="s">
        <v>999</v>
      </c>
    </row>
    <row r="124" spans="28:28" x14ac:dyDescent="0.3">
      <c r="AB124" t="s">
        <v>1005</v>
      </c>
    </row>
    <row r="125" spans="28:28" x14ac:dyDescent="0.3">
      <c r="AB125" t="s">
        <v>1027</v>
      </c>
    </row>
    <row r="126" spans="28:28" x14ac:dyDescent="0.3">
      <c r="AB126" t="s">
        <v>994</v>
      </c>
    </row>
    <row r="127" spans="28:28" x14ac:dyDescent="0.3">
      <c r="AB127" t="s">
        <v>641</v>
      </c>
    </row>
  </sheetData>
  <sortState ref="A3:A53">
    <sortCondition ref="A5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C5:AR97"/>
  <sheetViews>
    <sheetView workbookViewId="0">
      <selection activeCell="G24" sqref="G24"/>
    </sheetView>
  </sheetViews>
  <sheetFormatPr defaultColWidth="9.109375" defaultRowHeight="14.4" x14ac:dyDescent="0.3"/>
  <cols>
    <col min="1" max="2" width="9.109375" style="53"/>
    <col min="3" max="9" width="30.109375" style="53" customWidth="1"/>
    <col min="10" max="11" width="26.44140625" style="65" customWidth="1"/>
    <col min="12" max="13" width="26.44140625" style="53" customWidth="1"/>
    <col min="14" max="14" width="23.88671875" style="53" customWidth="1"/>
    <col min="15" max="15" width="27.33203125" style="53" customWidth="1"/>
    <col min="16" max="16" width="26.5546875" style="53" customWidth="1"/>
    <col min="17" max="17" width="26.109375" style="65" customWidth="1"/>
    <col min="18" max="18" width="27.88671875" style="53" customWidth="1"/>
    <col min="19" max="19" width="19" style="53" customWidth="1"/>
    <col min="20" max="20" width="24.44140625" style="53" customWidth="1"/>
    <col min="21" max="21" width="24.5546875" style="53" customWidth="1"/>
    <col min="22" max="22" width="25" style="53" customWidth="1"/>
    <col min="23" max="23" width="25.88671875" style="53" customWidth="1"/>
    <col min="24" max="24" width="24.5546875" style="53" customWidth="1"/>
    <col min="25" max="25" width="29.44140625" style="53" customWidth="1"/>
    <col min="26" max="26" width="28.88671875" style="53" customWidth="1"/>
    <col min="27" max="27" width="27.5546875" style="65" customWidth="1"/>
    <col min="28" max="28" width="30.5546875" style="53" customWidth="1"/>
    <col min="29" max="29" width="23.44140625" style="53" customWidth="1"/>
    <col min="30" max="30" width="22.5546875" style="53" customWidth="1"/>
    <col min="31" max="31" width="29.33203125" style="65" customWidth="1"/>
    <col min="32" max="32" width="23.6640625" style="65" customWidth="1"/>
    <col min="33" max="33" width="24.44140625" style="53" customWidth="1"/>
    <col min="34" max="34" width="30.109375" style="53" customWidth="1"/>
    <col min="35" max="35" width="21.5546875" style="53" customWidth="1"/>
    <col min="36" max="36" width="20.109375" style="65" customWidth="1"/>
    <col min="37" max="37" width="21.109375" style="65" customWidth="1"/>
    <col min="38" max="38" width="20.6640625" style="65" customWidth="1"/>
    <col min="39" max="39" width="20.88671875" style="53" customWidth="1"/>
    <col min="40" max="40" width="20.88671875" style="68" customWidth="1"/>
    <col min="41" max="41" width="26.44140625" style="53" customWidth="1"/>
    <col min="42" max="42" width="29.44140625" style="53" customWidth="1"/>
    <col min="43" max="43" width="18.33203125" style="53" customWidth="1"/>
    <col min="44" max="44" width="21.33203125" style="53" customWidth="1"/>
    <col min="45" max="16384" width="9.109375" style="53"/>
  </cols>
  <sheetData>
    <row r="5" spans="3:44" s="52" customFormat="1" ht="15" x14ac:dyDescent="0.25">
      <c r="C5" s="377" t="s">
        <v>265</v>
      </c>
      <c r="D5" s="377"/>
      <c r="E5" s="377"/>
      <c r="F5" s="377"/>
      <c r="G5" s="52" t="s">
        <v>267</v>
      </c>
      <c r="H5" s="52" t="s">
        <v>268</v>
      </c>
      <c r="I5" s="52" t="s">
        <v>269</v>
      </c>
      <c r="J5" s="64" t="s">
        <v>270</v>
      </c>
      <c r="K5" s="81" t="s">
        <v>271</v>
      </c>
      <c r="L5" s="52" t="s">
        <v>283</v>
      </c>
      <c r="M5" s="52" t="s">
        <v>284</v>
      </c>
      <c r="N5" s="377" t="s">
        <v>285</v>
      </c>
      <c r="O5" s="344"/>
      <c r="P5" s="52" t="s">
        <v>286</v>
      </c>
      <c r="Q5" s="84" t="s">
        <v>287</v>
      </c>
      <c r="R5" s="377" t="s">
        <v>294</v>
      </c>
      <c r="S5" s="344"/>
      <c r="T5" s="344"/>
      <c r="U5" s="52" t="s">
        <v>295</v>
      </c>
      <c r="V5" s="52" t="s">
        <v>296</v>
      </c>
      <c r="W5" s="377" t="s">
        <v>297</v>
      </c>
      <c r="X5" s="344"/>
      <c r="Y5" s="377" t="s">
        <v>298</v>
      </c>
      <c r="Z5" s="344"/>
      <c r="AA5" s="64" t="s">
        <v>299</v>
      </c>
      <c r="AB5" s="377" t="s">
        <v>308</v>
      </c>
      <c r="AC5" s="344"/>
      <c r="AD5" s="344"/>
      <c r="AE5" s="84" t="s">
        <v>310</v>
      </c>
      <c r="AF5" s="84" t="s">
        <v>317</v>
      </c>
      <c r="AG5" s="67" t="s">
        <v>333</v>
      </c>
      <c r="AH5" s="377" t="s">
        <v>330</v>
      </c>
      <c r="AI5" s="344"/>
      <c r="AJ5" s="379" t="s">
        <v>331</v>
      </c>
      <c r="AK5" s="380"/>
      <c r="AL5" s="84" t="s">
        <v>332</v>
      </c>
      <c r="AM5" s="377" t="s">
        <v>334</v>
      </c>
      <c r="AN5" s="378"/>
      <c r="AO5" s="62" t="s">
        <v>335</v>
      </c>
      <c r="AP5" s="62" t="s">
        <v>56</v>
      </c>
    </row>
    <row r="6" spans="3:44" s="8" customFormat="1" ht="15" x14ac:dyDescent="0.25">
      <c r="C6" s="8" t="s">
        <v>341</v>
      </c>
      <c r="D6" s="8" t="s">
        <v>342</v>
      </c>
      <c r="E6" s="8" t="s">
        <v>343</v>
      </c>
      <c r="F6" s="8" t="s">
        <v>344</v>
      </c>
      <c r="G6" s="8" t="s">
        <v>345</v>
      </c>
      <c r="H6" s="8" t="s">
        <v>346</v>
      </c>
      <c r="I6" s="8" t="s">
        <v>347</v>
      </c>
      <c r="J6" s="64" t="s">
        <v>348</v>
      </c>
      <c r="K6" s="81" t="s">
        <v>349</v>
      </c>
      <c r="L6" s="8" t="s">
        <v>350</v>
      </c>
      <c r="M6" s="8" t="s">
        <v>351</v>
      </c>
      <c r="N6" s="8" t="s">
        <v>352</v>
      </c>
      <c r="O6" s="8" t="s">
        <v>353</v>
      </c>
      <c r="P6" s="8" t="s">
        <v>354</v>
      </c>
      <c r="Q6" s="84" t="s">
        <v>355</v>
      </c>
      <c r="R6" s="8" t="s">
        <v>356</v>
      </c>
      <c r="S6" s="8" t="s">
        <v>357</v>
      </c>
      <c r="T6" s="8" t="s">
        <v>358</v>
      </c>
      <c r="U6" s="8" t="s">
        <v>359</v>
      </c>
      <c r="V6" s="8" t="s">
        <v>360</v>
      </c>
      <c r="W6" s="8" t="s">
        <v>361</v>
      </c>
      <c r="X6" s="8" t="s">
        <v>362</v>
      </c>
      <c r="Y6" s="8" t="s">
        <v>363</v>
      </c>
      <c r="Z6" s="8" t="s">
        <v>364</v>
      </c>
      <c r="AA6" s="64" t="s">
        <v>365</v>
      </c>
      <c r="AB6" s="8" t="s">
        <v>366</v>
      </c>
      <c r="AC6" s="8" t="s">
        <v>367</v>
      </c>
      <c r="AD6" s="8" t="s">
        <v>368</v>
      </c>
      <c r="AE6" s="84" t="s">
        <v>369</v>
      </c>
      <c r="AF6" s="84" t="s">
        <v>370</v>
      </c>
      <c r="AG6" s="8" t="s">
        <v>371</v>
      </c>
      <c r="AH6" s="8" t="s">
        <v>372</v>
      </c>
      <c r="AI6" s="8" t="s">
        <v>373</v>
      </c>
      <c r="AJ6" s="84" t="s">
        <v>374</v>
      </c>
      <c r="AK6" s="84" t="s">
        <v>375</v>
      </c>
      <c r="AL6" s="84" t="s">
        <v>376</v>
      </c>
      <c r="AM6" s="8" t="s">
        <v>419</v>
      </c>
      <c r="AN6" s="69" t="s">
        <v>420</v>
      </c>
      <c r="AO6" s="8" t="s">
        <v>1172</v>
      </c>
      <c r="AP6" s="8" t="s">
        <v>1171</v>
      </c>
      <c r="AQ6" s="8" t="s">
        <v>1173</v>
      </c>
      <c r="AR6" s="8" t="s">
        <v>1174</v>
      </c>
    </row>
    <row r="7" spans="3:44" s="8" customFormat="1" x14ac:dyDescent="0.3">
      <c r="F7" s="71"/>
      <c r="J7" s="64"/>
      <c r="K7" s="81"/>
      <c r="Q7" s="84"/>
      <c r="AA7" s="64"/>
      <c r="AE7" s="84"/>
      <c r="AF7" s="84"/>
      <c r="AJ7" s="84"/>
      <c r="AK7" s="84"/>
      <c r="AL7" s="84"/>
      <c r="AN7" s="69"/>
      <c r="AP7"/>
      <c r="AQ7"/>
    </row>
    <row r="8" spans="3:44" x14ac:dyDescent="0.3">
      <c r="C8" t="s">
        <v>648</v>
      </c>
      <c r="D8" t="s">
        <v>648</v>
      </c>
      <c r="E8" t="s">
        <v>648</v>
      </c>
      <c r="F8" t="s">
        <v>648</v>
      </c>
      <c r="G8" t="s">
        <v>655</v>
      </c>
      <c r="H8" t="s">
        <v>614</v>
      </c>
      <c r="I8" t="s">
        <v>480</v>
      </c>
      <c r="J8" t="s">
        <v>547</v>
      </c>
      <c r="K8" t="s">
        <v>677</v>
      </c>
      <c r="L8" t="s">
        <v>643</v>
      </c>
      <c r="M8" t="s">
        <v>568</v>
      </c>
      <c r="N8" t="s">
        <v>664</v>
      </c>
      <c r="O8" t="s">
        <v>664</v>
      </c>
      <c r="P8" t="s">
        <v>732</v>
      </c>
      <c r="Q8" t="s">
        <v>523</v>
      </c>
      <c r="R8" t="s">
        <v>582</v>
      </c>
      <c r="S8" t="s">
        <v>582</v>
      </c>
      <c r="T8" t="s">
        <v>582</v>
      </c>
      <c r="U8" t="s">
        <v>706</v>
      </c>
      <c r="V8" t="s">
        <v>597</v>
      </c>
      <c r="W8" t="s">
        <v>676</v>
      </c>
      <c r="X8" t="s">
        <v>676</v>
      </c>
      <c r="Y8" t="s">
        <v>657</v>
      </c>
      <c r="Z8" t="s">
        <v>657</v>
      </c>
      <c r="AA8" t="s">
        <v>649</v>
      </c>
      <c r="AB8" t="s">
        <v>680</v>
      </c>
      <c r="AC8" t="s">
        <v>680</v>
      </c>
      <c r="AD8" t="s">
        <v>680</v>
      </c>
      <c r="AE8" t="s">
        <v>661</v>
      </c>
      <c r="AF8" t="s">
        <v>658</v>
      </c>
      <c r="AG8" t="s">
        <v>671</v>
      </c>
      <c r="AH8" t="s">
        <v>673</v>
      </c>
      <c r="AI8" t="s">
        <v>673</v>
      </c>
      <c r="AJ8" t="s">
        <v>662</v>
      </c>
      <c r="AK8" t="s">
        <v>662</v>
      </c>
      <c r="AL8" t="s">
        <v>650</v>
      </c>
      <c r="AM8" t="s">
        <v>844</v>
      </c>
      <c r="AN8" t="s">
        <v>844</v>
      </c>
      <c r="AO8" t="s">
        <v>820</v>
      </c>
      <c r="AP8" t="s">
        <v>920</v>
      </c>
      <c r="AQ8" t="s">
        <v>722</v>
      </c>
      <c r="AR8" t="s">
        <v>1090</v>
      </c>
    </row>
    <row r="9" spans="3:44" x14ac:dyDescent="0.3">
      <c r="C9" t="s">
        <v>853</v>
      </c>
      <c r="D9" t="s">
        <v>853</v>
      </c>
      <c r="E9" t="s">
        <v>853</v>
      </c>
      <c r="F9" t="s">
        <v>853</v>
      </c>
      <c r="G9" t="s">
        <v>509</v>
      </c>
      <c r="H9" t="s">
        <v>482</v>
      </c>
      <c r="I9" t="s">
        <v>613</v>
      </c>
      <c r="J9" t="s">
        <v>549</v>
      </c>
      <c r="K9" t="s">
        <v>601</v>
      </c>
      <c r="L9" t="s">
        <v>684</v>
      </c>
      <c r="M9" t="s">
        <v>571</v>
      </c>
      <c r="N9" t="s">
        <v>577</v>
      </c>
      <c r="O9" t="s">
        <v>577</v>
      </c>
      <c r="P9" t="s">
        <v>704</v>
      </c>
      <c r="Q9" t="s">
        <v>638</v>
      </c>
      <c r="R9" t="s">
        <v>604</v>
      </c>
      <c r="S9" t="s">
        <v>604</v>
      </c>
      <c r="T9" t="s">
        <v>604</v>
      </c>
      <c r="U9" t="s">
        <v>642</v>
      </c>
      <c r="V9" t="s">
        <v>761</v>
      </c>
      <c r="W9" t="s">
        <v>491</v>
      </c>
      <c r="X9" t="s">
        <v>491</v>
      </c>
      <c r="Y9" t="s">
        <v>720</v>
      </c>
      <c r="Z9" t="s">
        <v>720</v>
      </c>
      <c r="AA9" t="s">
        <v>535</v>
      </c>
      <c r="AB9" t="s">
        <v>1099</v>
      </c>
      <c r="AC9" t="s">
        <v>1099</v>
      </c>
      <c r="AD9" t="s">
        <v>1099</v>
      </c>
      <c r="AE9" t="s">
        <v>522</v>
      </c>
      <c r="AF9" t="s">
        <v>763</v>
      </c>
      <c r="AG9" t="s">
        <v>555</v>
      </c>
      <c r="AH9" t="s">
        <v>674</v>
      </c>
      <c r="AI9" t="s">
        <v>674</v>
      </c>
      <c r="AJ9" t="s">
        <v>663</v>
      </c>
      <c r="AK9" t="s">
        <v>663</v>
      </c>
      <c r="AL9" t="s">
        <v>689</v>
      </c>
      <c r="AM9" t="s">
        <v>821</v>
      </c>
      <c r="AN9" t="s">
        <v>821</v>
      </c>
      <c r="AO9" t="s">
        <v>785</v>
      </c>
      <c r="AP9" t="s">
        <v>892</v>
      </c>
      <c r="AQ9" t="s">
        <v>752</v>
      </c>
      <c r="AR9" t="s">
        <v>1053</v>
      </c>
    </row>
    <row r="10" spans="3:44" x14ac:dyDescent="0.3">
      <c r="C10" t="s">
        <v>868</v>
      </c>
      <c r="D10" t="s">
        <v>868</v>
      </c>
      <c r="E10" t="s">
        <v>868</v>
      </c>
      <c r="F10" t="s">
        <v>868</v>
      </c>
      <c r="G10" t="s">
        <v>510</v>
      </c>
      <c r="H10" t="s">
        <v>484</v>
      </c>
      <c r="I10" t="s">
        <v>628</v>
      </c>
      <c r="J10" t="s">
        <v>548</v>
      </c>
      <c r="K10" t="s">
        <v>633</v>
      </c>
      <c r="L10" t="s">
        <v>496</v>
      </c>
      <c r="M10" t="s">
        <v>759</v>
      </c>
      <c r="N10" t="s">
        <v>691</v>
      </c>
      <c r="O10" t="s">
        <v>691</v>
      </c>
      <c r="P10" t="s">
        <v>592</v>
      </c>
      <c r="Q10" t="s">
        <v>766</v>
      </c>
      <c r="R10" t="s">
        <v>583</v>
      </c>
      <c r="S10" t="s">
        <v>583</v>
      </c>
      <c r="T10" t="s">
        <v>583</v>
      </c>
      <c r="U10" t="s">
        <v>585</v>
      </c>
      <c r="V10" t="s">
        <v>640</v>
      </c>
      <c r="W10" t="s">
        <v>647</v>
      </c>
      <c r="X10" t="s">
        <v>647</v>
      </c>
      <c r="Y10" t="s">
        <v>632</v>
      </c>
      <c r="Z10" t="s">
        <v>632</v>
      </c>
      <c r="AA10" t="s">
        <v>762</v>
      </c>
      <c r="AB10" t="s">
        <v>636</v>
      </c>
      <c r="AC10" t="s">
        <v>636</v>
      </c>
      <c r="AD10" t="s">
        <v>636</v>
      </c>
      <c r="AE10" t="s">
        <v>519</v>
      </c>
      <c r="AF10" t="s">
        <v>699</v>
      </c>
      <c r="AG10" t="s">
        <v>552</v>
      </c>
      <c r="AH10" t="s">
        <v>675</v>
      </c>
      <c r="AI10" t="s">
        <v>675</v>
      </c>
      <c r="AJ10" t="s">
        <v>836</v>
      </c>
      <c r="AK10" t="s">
        <v>836</v>
      </c>
      <c r="AL10" t="s">
        <v>514</v>
      </c>
      <c r="AM10" t="s">
        <v>811</v>
      </c>
      <c r="AN10" t="s">
        <v>811</v>
      </c>
      <c r="AO10" t="s">
        <v>795</v>
      </c>
      <c r="AP10" t="s">
        <v>889</v>
      </c>
      <c r="AQ10" t="s">
        <v>750</v>
      </c>
      <c r="AR10" t="s">
        <v>1113</v>
      </c>
    </row>
    <row r="11" spans="3:44" x14ac:dyDescent="0.3">
      <c r="C11" t="s">
        <v>1103</v>
      </c>
      <c r="D11" t="s">
        <v>1103</v>
      </c>
      <c r="E11" t="s">
        <v>1103</v>
      </c>
      <c r="F11" t="s">
        <v>1103</v>
      </c>
      <c r="G11" t="s">
        <v>733</v>
      </c>
      <c r="H11" t="s">
        <v>485</v>
      </c>
      <c r="I11" t="s">
        <v>481</v>
      </c>
      <c r="J11" t="s">
        <v>635</v>
      </c>
      <c r="K11" t="s">
        <v>702</v>
      </c>
      <c r="L11" t="s">
        <v>620</v>
      </c>
      <c r="M11" t="s">
        <v>570</v>
      </c>
      <c r="N11" t="s">
        <v>659</v>
      </c>
      <c r="O11" t="s">
        <v>659</v>
      </c>
      <c r="P11" t="s">
        <v>593</v>
      </c>
      <c r="Q11" t="s">
        <v>765</v>
      </c>
      <c r="R11" t="s">
        <v>746</v>
      </c>
      <c r="S11" t="s">
        <v>746</v>
      </c>
      <c r="T11" t="s">
        <v>746</v>
      </c>
      <c r="U11" t="s">
        <v>588</v>
      </c>
      <c r="V11" t="s">
        <v>594</v>
      </c>
      <c r="W11" t="s">
        <v>490</v>
      </c>
      <c r="X11" t="s">
        <v>490</v>
      </c>
      <c r="Y11" t="s">
        <v>515</v>
      </c>
      <c r="Z11" t="s">
        <v>515</v>
      </c>
      <c r="AA11" t="s">
        <v>532</v>
      </c>
      <c r="AB11" t="s">
        <v>885</v>
      </c>
      <c r="AC11" t="s">
        <v>885</v>
      </c>
      <c r="AD11" t="s">
        <v>885</v>
      </c>
      <c r="AE11" t="s">
        <v>744</v>
      </c>
      <c r="AF11" t="s">
        <v>542</v>
      </c>
      <c r="AG11" t="s">
        <v>694</v>
      </c>
      <c r="AH11" t="s">
        <v>1084</v>
      </c>
      <c r="AI11" t="s">
        <v>1084</v>
      </c>
      <c r="AJ11" t="s">
        <v>692</v>
      </c>
      <c r="AK11" t="s">
        <v>692</v>
      </c>
      <c r="AL11" t="s">
        <v>513</v>
      </c>
      <c r="AM11" t="s">
        <v>826</v>
      </c>
      <c r="AN11" t="s">
        <v>826</v>
      </c>
      <c r="AO11" t="s">
        <v>1032</v>
      </c>
      <c r="AP11" t="s">
        <v>888</v>
      </c>
      <c r="AQ11" t="s">
        <v>753</v>
      </c>
      <c r="AR11" t="s">
        <v>1093</v>
      </c>
    </row>
    <row r="12" spans="3:44" x14ac:dyDescent="0.3">
      <c r="C12" t="s">
        <v>1040</v>
      </c>
      <c r="D12" t="s">
        <v>1040</v>
      </c>
      <c r="E12" t="s">
        <v>1040</v>
      </c>
      <c r="F12" t="s">
        <v>1040</v>
      </c>
      <c r="G12" t="s">
        <v>508</v>
      </c>
      <c r="H12" t="s">
        <v>686</v>
      </c>
      <c r="I12" t="s">
        <v>473</v>
      </c>
      <c r="J12" t="s">
        <v>545</v>
      </c>
      <c r="K12" t="s">
        <v>602</v>
      </c>
      <c r="L12" t="s">
        <v>605</v>
      </c>
      <c r="M12" t="s">
        <v>630</v>
      </c>
      <c r="N12" t="s">
        <v>579</v>
      </c>
      <c r="O12" t="s">
        <v>579</v>
      </c>
      <c r="P12" t="s">
        <v>728</v>
      </c>
      <c r="Q12" t="s">
        <v>639</v>
      </c>
      <c r="R12" t="s">
        <v>724</v>
      </c>
      <c r="S12" t="s">
        <v>724</v>
      </c>
      <c r="T12" t="s">
        <v>724</v>
      </c>
      <c r="U12" t="s">
        <v>589</v>
      </c>
      <c r="V12" t="s">
        <v>707</v>
      </c>
      <c r="W12" t="s">
        <v>495</v>
      </c>
      <c r="X12" t="s">
        <v>495</v>
      </c>
      <c r="Y12" t="s">
        <v>711</v>
      </c>
      <c r="Z12" t="s">
        <v>711</v>
      </c>
      <c r="AA12" t="s">
        <v>703</v>
      </c>
      <c r="AB12" t="s">
        <v>561</v>
      </c>
      <c r="AC12" t="s">
        <v>561</v>
      </c>
      <c r="AD12" t="s">
        <v>561</v>
      </c>
      <c r="AE12" t="s">
        <v>520</v>
      </c>
      <c r="AF12" t="s">
        <v>708</v>
      </c>
      <c r="AG12" t="s">
        <v>695</v>
      </c>
      <c r="AH12" t="s">
        <v>535</v>
      </c>
      <c r="AI12" t="s">
        <v>535</v>
      </c>
      <c r="AJ12" t="s">
        <v>835</v>
      </c>
      <c r="AK12" t="s">
        <v>835</v>
      </c>
      <c r="AL12" t="s">
        <v>616</v>
      </c>
      <c r="AM12" t="s">
        <v>775</v>
      </c>
      <c r="AN12" t="s">
        <v>775</v>
      </c>
      <c r="AO12" t="s">
        <v>845</v>
      </c>
      <c r="AP12" t="s">
        <v>898</v>
      </c>
      <c r="AQ12" t="s">
        <v>754</v>
      </c>
      <c r="AR12" t="s">
        <v>954</v>
      </c>
    </row>
    <row r="13" spans="3:44" x14ac:dyDescent="0.3">
      <c r="C13" t="s">
        <v>852</v>
      </c>
      <c r="D13" t="s">
        <v>852</v>
      </c>
      <c r="E13" t="s">
        <v>852</v>
      </c>
      <c r="F13" t="s">
        <v>852</v>
      </c>
      <c r="G13" t="s">
        <v>502</v>
      </c>
      <c r="H13" t="s">
        <v>487</v>
      </c>
      <c r="I13" t="s">
        <v>479</v>
      </c>
      <c r="J13" t="s">
        <v>624</v>
      </c>
      <c r="K13" t="s">
        <v>637</v>
      </c>
      <c r="L13" t="s">
        <v>499</v>
      </c>
      <c r="M13" t="s">
        <v>619</v>
      </c>
      <c r="N13" t="s">
        <v>578</v>
      </c>
      <c r="O13" t="s">
        <v>578</v>
      </c>
      <c r="P13" t="s">
        <v>713</v>
      </c>
      <c r="Q13" t="s">
        <v>525</v>
      </c>
      <c r="R13" t="s">
        <v>632</v>
      </c>
      <c r="S13" t="s">
        <v>632</v>
      </c>
      <c r="T13" t="s">
        <v>632</v>
      </c>
      <c r="U13" t="s">
        <v>587</v>
      </c>
      <c r="V13" t="s">
        <v>615</v>
      </c>
      <c r="W13" t="s">
        <v>693</v>
      </c>
      <c r="X13" t="s">
        <v>693</v>
      </c>
      <c r="Y13" t="s">
        <v>688</v>
      </c>
      <c r="Z13" t="s">
        <v>688</v>
      </c>
      <c r="AA13" t="s">
        <v>530</v>
      </c>
      <c r="AB13" t="s">
        <v>719</v>
      </c>
      <c r="AC13" t="s">
        <v>719</v>
      </c>
      <c r="AD13" t="s">
        <v>719</v>
      </c>
      <c r="AE13" t="s">
        <v>517</v>
      </c>
      <c r="AF13" t="s">
        <v>739</v>
      </c>
      <c r="AG13" t="s">
        <v>554</v>
      </c>
      <c r="AH13" t="s">
        <v>934</v>
      </c>
      <c r="AI13" t="s">
        <v>934</v>
      </c>
      <c r="AJ13" t="s">
        <v>838</v>
      </c>
      <c r="AK13" t="s">
        <v>838</v>
      </c>
      <c r="AL13" t="s">
        <v>511</v>
      </c>
      <c r="AM13" t="s">
        <v>752</v>
      </c>
      <c r="AN13" t="s">
        <v>752</v>
      </c>
      <c r="AO13" t="s">
        <v>953</v>
      </c>
      <c r="AP13" t="s">
        <v>910</v>
      </c>
      <c r="AQ13" t="s">
        <v>751</v>
      </c>
      <c r="AR13" t="s">
        <v>969</v>
      </c>
    </row>
    <row r="14" spans="3:44" x14ac:dyDescent="0.3">
      <c r="C14" t="s">
        <v>869</v>
      </c>
      <c r="D14" t="s">
        <v>869</v>
      </c>
      <c r="E14" t="s">
        <v>869</v>
      </c>
      <c r="F14" t="s">
        <v>869</v>
      </c>
      <c r="G14" t="s">
        <v>505</v>
      </c>
      <c r="H14" t="s">
        <v>486</v>
      </c>
      <c r="I14" t="s">
        <v>478</v>
      </c>
      <c r="K14" t="s">
        <v>712</v>
      </c>
      <c r="L14" t="s">
        <v>623</v>
      </c>
      <c r="N14" t="s">
        <v>572</v>
      </c>
      <c r="O14" t="s">
        <v>572</v>
      </c>
      <c r="P14" t="s">
        <v>618</v>
      </c>
      <c r="Q14" t="s">
        <v>741</v>
      </c>
      <c r="R14" t="s">
        <v>721</v>
      </c>
      <c r="S14" t="s">
        <v>721</v>
      </c>
      <c r="T14" t="s">
        <v>721</v>
      </c>
      <c r="V14" t="s">
        <v>598</v>
      </c>
      <c r="W14" t="s">
        <v>731</v>
      </c>
      <c r="X14" t="s">
        <v>731</v>
      </c>
      <c r="Y14" t="s">
        <v>584</v>
      </c>
      <c r="Z14" t="s">
        <v>584</v>
      </c>
      <c r="AA14" t="s">
        <v>533</v>
      </c>
      <c r="AB14" t="s">
        <v>1039</v>
      </c>
      <c r="AC14" t="s">
        <v>1039</v>
      </c>
      <c r="AD14" t="s">
        <v>1039</v>
      </c>
      <c r="AE14" t="s">
        <v>521</v>
      </c>
      <c r="AF14" t="s">
        <v>540</v>
      </c>
      <c r="AH14" t="s">
        <v>747</v>
      </c>
      <c r="AI14" t="s">
        <v>747</v>
      </c>
      <c r="AJ14" t="s">
        <v>610</v>
      </c>
      <c r="AK14" t="s">
        <v>610</v>
      </c>
      <c r="AL14" t="s">
        <v>651</v>
      </c>
      <c r="AM14" t="s">
        <v>827</v>
      </c>
      <c r="AN14" t="s">
        <v>827</v>
      </c>
      <c r="AO14" t="s">
        <v>790</v>
      </c>
      <c r="AP14" t="s">
        <v>605</v>
      </c>
      <c r="AQ14" t="s">
        <v>716</v>
      </c>
      <c r="AR14" t="s">
        <v>964</v>
      </c>
    </row>
    <row r="15" spans="3:44" x14ac:dyDescent="0.3">
      <c r="C15" t="s">
        <v>842</v>
      </c>
      <c r="D15" t="s">
        <v>842</v>
      </c>
      <c r="E15" t="s">
        <v>842</v>
      </c>
      <c r="F15" t="s">
        <v>842</v>
      </c>
      <c r="G15" t="s">
        <v>656</v>
      </c>
      <c r="H15" t="s">
        <v>760</v>
      </c>
      <c r="I15" t="s">
        <v>476</v>
      </c>
      <c r="K15" t="s">
        <v>599</v>
      </c>
      <c r="L15" t="s">
        <v>501</v>
      </c>
      <c r="N15" t="s">
        <v>646</v>
      </c>
      <c r="O15" t="s">
        <v>646</v>
      </c>
      <c r="P15" t="s">
        <v>590</v>
      </c>
      <c r="Q15" t="s">
        <v>526</v>
      </c>
      <c r="R15" t="s">
        <v>584</v>
      </c>
      <c r="S15" t="s">
        <v>584</v>
      </c>
      <c r="T15" t="s">
        <v>584</v>
      </c>
      <c r="V15" t="s">
        <v>596</v>
      </c>
      <c r="W15" t="s">
        <v>654</v>
      </c>
      <c r="X15" t="s">
        <v>654</v>
      </c>
      <c r="Y15" t="s">
        <v>767</v>
      </c>
      <c r="Z15" t="s">
        <v>767</v>
      </c>
      <c r="AA15" t="s">
        <v>534</v>
      </c>
      <c r="AB15" t="s">
        <v>564</v>
      </c>
      <c r="AC15" t="s">
        <v>564</v>
      </c>
      <c r="AD15" t="s">
        <v>564</v>
      </c>
      <c r="AE15" t="s">
        <v>745</v>
      </c>
      <c r="AF15" t="s">
        <v>683</v>
      </c>
      <c r="AH15" t="s">
        <v>550</v>
      </c>
      <c r="AI15" t="s">
        <v>550</v>
      </c>
      <c r="AJ15" t="s">
        <v>996</v>
      </c>
      <c r="AK15" t="s">
        <v>996</v>
      </c>
      <c r="AL15" t="s">
        <v>749</v>
      </c>
      <c r="AM15" t="s">
        <v>1034</v>
      </c>
      <c r="AN15" t="s">
        <v>1034</v>
      </c>
      <c r="AO15" t="s">
        <v>794</v>
      </c>
      <c r="AP15" t="s">
        <v>878</v>
      </c>
      <c r="AQ15" t="s">
        <v>641</v>
      </c>
      <c r="AR15" t="s">
        <v>1088</v>
      </c>
    </row>
    <row r="16" spans="3:44" x14ac:dyDescent="0.3">
      <c r="C16" t="s">
        <v>857</v>
      </c>
      <c r="D16" t="s">
        <v>857</v>
      </c>
      <c r="E16" t="s">
        <v>857</v>
      </c>
      <c r="F16" t="s">
        <v>857</v>
      </c>
      <c r="G16" t="s">
        <v>507</v>
      </c>
      <c r="I16" t="s">
        <v>477</v>
      </c>
      <c r="K16" t="s">
        <v>634</v>
      </c>
      <c r="L16" t="s">
        <v>627</v>
      </c>
      <c r="N16" t="s">
        <v>574</v>
      </c>
      <c r="O16" t="s">
        <v>574</v>
      </c>
      <c r="Q16" t="s">
        <v>527</v>
      </c>
      <c r="R16" t="s">
        <v>714</v>
      </c>
      <c r="S16" t="s">
        <v>714</v>
      </c>
      <c r="T16" t="s">
        <v>714</v>
      </c>
      <c r="V16" t="s">
        <v>685</v>
      </c>
      <c r="W16" t="s">
        <v>488</v>
      </c>
      <c r="X16" t="s">
        <v>488</v>
      </c>
      <c r="AA16" t="s">
        <v>528</v>
      </c>
      <c r="AB16" t="s">
        <v>701</v>
      </c>
      <c r="AC16" t="s">
        <v>701</v>
      </c>
      <c r="AD16" t="s">
        <v>701</v>
      </c>
      <c r="AF16" t="s">
        <v>687</v>
      </c>
      <c r="AH16" t="s">
        <v>652</v>
      </c>
      <c r="AI16" t="s">
        <v>652</v>
      </c>
      <c r="AJ16" t="s">
        <v>556</v>
      </c>
      <c r="AK16" t="s">
        <v>556</v>
      </c>
      <c r="AL16" t="s">
        <v>742</v>
      </c>
      <c r="AM16" t="s">
        <v>825</v>
      </c>
      <c r="AN16" t="s">
        <v>825</v>
      </c>
      <c r="AO16" t="s">
        <v>519</v>
      </c>
      <c r="AP16" t="s">
        <v>871</v>
      </c>
      <c r="AR16" t="s">
        <v>977</v>
      </c>
    </row>
    <row r="17" spans="3:44" x14ac:dyDescent="0.3">
      <c r="C17" t="s">
        <v>875</v>
      </c>
      <c r="D17" t="s">
        <v>875</v>
      </c>
      <c r="E17" t="s">
        <v>875</v>
      </c>
      <c r="F17" t="s">
        <v>875</v>
      </c>
      <c r="G17" t="s">
        <v>504</v>
      </c>
      <c r="I17" t="s">
        <v>475</v>
      </c>
      <c r="K17" t="s">
        <v>645</v>
      </c>
      <c r="L17" t="s">
        <v>621</v>
      </c>
      <c r="N17" t="s">
        <v>629</v>
      </c>
      <c r="O17" t="s">
        <v>629</v>
      </c>
      <c r="R17" t="s">
        <v>580</v>
      </c>
      <c r="S17" t="s">
        <v>580</v>
      </c>
      <c r="T17" t="s">
        <v>580</v>
      </c>
      <c r="W17" t="s">
        <v>493</v>
      </c>
      <c r="X17" t="s">
        <v>493</v>
      </c>
      <c r="AA17" t="s">
        <v>710</v>
      </c>
      <c r="AB17" t="s">
        <v>792</v>
      </c>
      <c r="AC17" t="s">
        <v>792</v>
      </c>
      <c r="AD17" t="s">
        <v>792</v>
      </c>
      <c r="AF17" t="s">
        <v>539</v>
      </c>
      <c r="AH17" t="s">
        <v>1078</v>
      </c>
      <c r="AI17" t="s">
        <v>1078</v>
      </c>
      <c r="AJ17" t="s">
        <v>1102</v>
      </c>
      <c r="AK17" t="s">
        <v>1102</v>
      </c>
      <c r="AL17" t="s">
        <v>653</v>
      </c>
      <c r="AM17" t="s">
        <v>814</v>
      </c>
      <c r="AN17" t="s">
        <v>814</v>
      </c>
      <c r="AO17" t="s">
        <v>803</v>
      </c>
      <c r="AP17" t="s">
        <v>900</v>
      </c>
      <c r="AR17" t="s">
        <v>976</v>
      </c>
    </row>
    <row r="18" spans="3:44" x14ac:dyDescent="0.3">
      <c r="C18" t="s">
        <v>470</v>
      </c>
      <c r="D18" t="s">
        <v>470</v>
      </c>
      <c r="E18" t="s">
        <v>470</v>
      </c>
      <c r="F18" t="s">
        <v>470</v>
      </c>
      <c r="G18" t="s">
        <v>506</v>
      </c>
      <c r="I18" t="s">
        <v>755</v>
      </c>
      <c r="K18" t="s">
        <v>603</v>
      </c>
      <c r="L18" t="s">
        <v>500</v>
      </c>
      <c r="N18" t="s">
        <v>660</v>
      </c>
      <c r="O18" t="s">
        <v>660</v>
      </c>
      <c r="W18" t="s">
        <v>494</v>
      </c>
      <c r="X18" t="s">
        <v>494</v>
      </c>
      <c r="AA18" t="s">
        <v>531</v>
      </c>
      <c r="AB18" t="s">
        <v>631</v>
      </c>
      <c r="AC18" t="s">
        <v>631</v>
      </c>
      <c r="AD18" t="s">
        <v>631</v>
      </c>
      <c r="AF18" t="s">
        <v>543</v>
      </c>
      <c r="AH18" t="s">
        <v>748</v>
      </c>
      <c r="AI18" t="s">
        <v>748</v>
      </c>
      <c r="AJ18" t="s">
        <v>683</v>
      </c>
      <c r="AK18" t="s">
        <v>683</v>
      </c>
      <c r="AL18" t="s">
        <v>737</v>
      </c>
      <c r="AM18" t="s">
        <v>831</v>
      </c>
      <c r="AN18" t="s">
        <v>831</v>
      </c>
      <c r="AO18" t="s">
        <v>783</v>
      </c>
      <c r="AP18" t="s">
        <v>890</v>
      </c>
      <c r="AR18" t="s">
        <v>1048</v>
      </c>
    </row>
    <row r="19" spans="3:44" x14ac:dyDescent="0.3">
      <c r="C19" t="s">
        <v>828</v>
      </c>
      <c r="D19" t="s">
        <v>828</v>
      </c>
      <c r="E19" t="s">
        <v>828</v>
      </c>
      <c r="F19" t="s">
        <v>828</v>
      </c>
      <c r="L19" t="s">
        <v>644</v>
      </c>
      <c r="N19" t="s">
        <v>730</v>
      </c>
      <c r="O19" t="s">
        <v>730</v>
      </c>
      <c r="W19" t="s">
        <v>492</v>
      </c>
      <c r="X19" t="s">
        <v>492</v>
      </c>
      <c r="AB19" t="s">
        <v>736</v>
      </c>
      <c r="AC19" t="s">
        <v>736</v>
      </c>
      <c r="AD19" t="s">
        <v>736</v>
      </c>
      <c r="AF19" t="s">
        <v>538</v>
      </c>
      <c r="AH19" t="s">
        <v>921</v>
      </c>
      <c r="AI19" t="s">
        <v>921</v>
      </c>
      <c r="AJ19" t="s">
        <v>834</v>
      </c>
      <c r="AK19" t="s">
        <v>834</v>
      </c>
      <c r="AM19" t="s">
        <v>1031</v>
      </c>
      <c r="AN19" t="s">
        <v>1031</v>
      </c>
      <c r="AO19" t="s">
        <v>552</v>
      </c>
      <c r="AP19" t="s">
        <v>1042</v>
      </c>
      <c r="AR19" t="s">
        <v>952</v>
      </c>
    </row>
    <row r="20" spans="3:44" x14ac:dyDescent="0.3">
      <c r="C20" t="s">
        <v>879</v>
      </c>
      <c r="D20" t="s">
        <v>879</v>
      </c>
      <c r="E20" t="s">
        <v>879</v>
      </c>
      <c r="F20" t="s">
        <v>879</v>
      </c>
      <c r="L20" t="s">
        <v>498</v>
      </c>
      <c r="N20" t="s">
        <v>690</v>
      </c>
      <c r="O20" t="s">
        <v>690</v>
      </c>
      <c r="AB20" t="s">
        <v>913</v>
      </c>
      <c r="AC20" t="s">
        <v>913</v>
      </c>
      <c r="AD20" t="s">
        <v>913</v>
      </c>
      <c r="AF20" t="s">
        <v>541</v>
      </c>
      <c r="AH20" t="s">
        <v>622</v>
      </c>
      <c r="AI20" t="s">
        <v>622</v>
      </c>
      <c r="AJ20" t="s">
        <v>609</v>
      </c>
      <c r="AK20" t="s">
        <v>609</v>
      </c>
      <c r="AM20" t="s">
        <v>816</v>
      </c>
      <c r="AN20" t="s">
        <v>816</v>
      </c>
      <c r="AO20" t="s">
        <v>788</v>
      </c>
      <c r="AP20" t="s">
        <v>928</v>
      </c>
      <c r="AR20" t="s">
        <v>1087</v>
      </c>
    </row>
    <row r="21" spans="3:44" x14ac:dyDescent="0.3">
      <c r="C21" t="s">
        <v>697</v>
      </c>
      <c r="D21" t="s">
        <v>697</v>
      </c>
      <c r="E21" t="s">
        <v>697</v>
      </c>
      <c r="F21" t="s">
        <v>697</v>
      </c>
      <c r="N21" t="s">
        <v>575</v>
      </c>
      <c r="O21" t="s">
        <v>575</v>
      </c>
      <c r="AB21" t="s">
        <v>681</v>
      </c>
      <c r="AC21" t="s">
        <v>681</v>
      </c>
      <c r="AD21" t="s">
        <v>681</v>
      </c>
      <c r="AF21" t="s">
        <v>544</v>
      </c>
      <c r="AH21" t="s">
        <v>865</v>
      </c>
      <c r="AI21" t="s">
        <v>865</v>
      </c>
      <c r="AJ21" t="s">
        <v>726</v>
      </c>
      <c r="AK21" t="s">
        <v>726</v>
      </c>
      <c r="AM21" t="s">
        <v>829</v>
      </c>
      <c r="AN21" t="s">
        <v>829</v>
      </c>
      <c r="AO21" t="s">
        <v>779</v>
      </c>
      <c r="AP21" t="s">
        <v>915</v>
      </c>
      <c r="AR21" t="s">
        <v>1085</v>
      </c>
    </row>
    <row r="22" spans="3:44" x14ac:dyDescent="0.3">
      <c r="C22" t="s">
        <v>912</v>
      </c>
      <c r="D22" t="s">
        <v>912</v>
      </c>
      <c r="E22" t="s">
        <v>912</v>
      </c>
      <c r="F22" t="s">
        <v>912</v>
      </c>
      <c r="N22" t="s">
        <v>727</v>
      </c>
      <c r="O22" t="s">
        <v>727</v>
      </c>
      <c r="AB22" t="s">
        <v>565</v>
      </c>
      <c r="AC22" t="s">
        <v>565</v>
      </c>
      <c r="AD22" t="s">
        <v>565</v>
      </c>
      <c r="AF22" t="s">
        <v>536</v>
      </c>
      <c r="AH22" t="s">
        <v>735</v>
      </c>
      <c r="AI22" t="s">
        <v>735</v>
      </c>
      <c r="AJ22" t="s">
        <v>612</v>
      </c>
      <c r="AK22" t="s">
        <v>612</v>
      </c>
      <c r="AM22" t="s">
        <v>832</v>
      </c>
      <c r="AN22" t="s">
        <v>832</v>
      </c>
      <c r="AO22" t="s">
        <v>778</v>
      </c>
      <c r="AP22" t="s">
        <v>938</v>
      </c>
      <c r="AR22" t="s">
        <v>1091</v>
      </c>
    </row>
    <row r="23" spans="3:44" x14ac:dyDescent="0.3">
      <c r="C23" t="s">
        <v>782</v>
      </c>
      <c r="D23" t="s">
        <v>782</v>
      </c>
      <c r="E23" t="s">
        <v>782</v>
      </c>
      <c r="F23" t="s">
        <v>782</v>
      </c>
      <c r="N23" t="s">
        <v>576</v>
      </c>
      <c r="O23" t="s">
        <v>576</v>
      </c>
      <c r="AB23" t="s">
        <v>764</v>
      </c>
      <c r="AC23" t="s">
        <v>764</v>
      </c>
      <c r="AD23" t="s">
        <v>764</v>
      </c>
      <c r="AF23" t="s">
        <v>715</v>
      </c>
      <c r="AH23" t="s">
        <v>884</v>
      </c>
      <c r="AI23" t="s">
        <v>884</v>
      </c>
      <c r="AJ23" t="s">
        <v>626</v>
      </c>
      <c r="AK23" t="s">
        <v>626</v>
      </c>
      <c r="AM23" t="s">
        <v>830</v>
      </c>
      <c r="AN23" t="s">
        <v>830</v>
      </c>
      <c r="AO23" t="s">
        <v>787</v>
      </c>
      <c r="AP23" t="s">
        <v>917</v>
      </c>
      <c r="AR23" t="s">
        <v>1089</v>
      </c>
    </row>
    <row r="24" spans="3:44" x14ac:dyDescent="0.3">
      <c r="C24" t="s">
        <v>848</v>
      </c>
      <c r="D24" t="s">
        <v>848</v>
      </c>
      <c r="E24" t="s">
        <v>848</v>
      </c>
      <c r="F24" t="s">
        <v>848</v>
      </c>
      <c r="AB24" t="s">
        <v>560</v>
      </c>
      <c r="AC24" t="s">
        <v>560</v>
      </c>
      <c r="AD24" t="s">
        <v>560</v>
      </c>
      <c r="AH24" t="s">
        <v>729</v>
      </c>
      <c r="AI24" t="s">
        <v>729</v>
      </c>
      <c r="AJ24" t="s">
        <v>608</v>
      </c>
      <c r="AK24" t="s">
        <v>608</v>
      </c>
      <c r="AM24" t="s">
        <v>471</v>
      </c>
      <c r="AN24" t="s">
        <v>471</v>
      </c>
      <c r="AO24" t="s">
        <v>822</v>
      </c>
      <c r="AP24" t="s">
        <v>859</v>
      </c>
      <c r="AR24" t="s">
        <v>947</v>
      </c>
    </row>
    <row r="25" spans="3:44" x14ac:dyDescent="0.3">
      <c r="C25" t="s">
        <v>738</v>
      </c>
      <c r="D25" t="s">
        <v>738</v>
      </c>
      <c r="E25" t="s">
        <v>738</v>
      </c>
      <c r="F25" t="s">
        <v>738</v>
      </c>
      <c r="AB25" t="s">
        <v>563</v>
      </c>
      <c r="AC25" t="s">
        <v>563</v>
      </c>
      <c r="AD25" t="s">
        <v>563</v>
      </c>
      <c r="AH25" t="s">
        <v>768</v>
      </c>
      <c r="AI25" t="s">
        <v>768</v>
      </c>
      <c r="AJ25" t="s">
        <v>723</v>
      </c>
      <c r="AK25" t="s">
        <v>723</v>
      </c>
      <c r="AM25" t="s">
        <v>824</v>
      </c>
      <c r="AN25" t="s">
        <v>824</v>
      </c>
      <c r="AO25" t="s">
        <v>1101</v>
      </c>
      <c r="AP25" t="s">
        <v>839</v>
      </c>
      <c r="AR25" t="s">
        <v>958</v>
      </c>
    </row>
    <row r="26" spans="3:44" x14ac:dyDescent="0.3">
      <c r="C26" t="s">
        <v>793</v>
      </c>
      <c r="D26" t="s">
        <v>793</v>
      </c>
      <c r="E26" t="s">
        <v>793</v>
      </c>
      <c r="F26" t="s">
        <v>793</v>
      </c>
      <c r="AB26" t="s">
        <v>742</v>
      </c>
      <c r="AC26" t="s">
        <v>742</v>
      </c>
      <c r="AD26" t="s">
        <v>742</v>
      </c>
      <c r="AH26" t="s">
        <v>1109</v>
      </c>
      <c r="AI26" t="s">
        <v>1109</v>
      </c>
      <c r="AJ26" t="s">
        <v>833</v>
      </c>
      <c r="AK26" t="s">
        <v>833</v>
      </c>
      <c r="AM26" t="s">
        <v>819</v>
      </c>
      <c r="AN26" t="s">
        <v>819</v>
      </c>
      <c r="AO26" t="s">
        <v>791</v>
      </c>
      <c r="AP26" t="s">
        <v>929</v>
      </c>
      <c r="AR26" t="s">
        <v>966</v>
      </c>
    </row>
    <row r="27" spans="3:44" x14ac:dyDescent="0.3">
      <c r="C27" t="s">
        <v>725</v>
      </c>
      <c r="D27" t="s">
        <v>725</v>
      </c>
      <c r="E27" t="s">
        <v>725</v>
      </c>
      <c r="F27" t="s">
        <v>725</v>
      </c>
      <c r="AB27" t="s">
        <v>757</v>
      </c>
      <c r="AC27" t="s">
        <v>757</v>
      </c>
      <c r="AD27" t="s">
        <v>757</v>
      </c>
      <c r="AH27" t="s">
        <v>682</v>
      </c>
      <c r="AI27" t="s">
        <v>682</v>
      </c>
      <c r="AJ27" t="s">
        <v>617</v>
      </c>
      <c r="AK27" t="s">
        <v>617</v>
      </c>
      <c r="AM27" t="s">
        <v>818</v>
      </c>
      <c r="AN27" t="s">
        <v>818</v>
      </c>
      <c r="AO27" t="s">
        <v>772</v>
      </c>
      <c r="AP27" t="s">
        <v>750</v>
      </c>
      <c r="AR27" t="s">
        <v>950</v>
      </c>
    </row>
    <row r="28" spans="3:44" x14ac:dyDescent="0.3">
      <c r="C28" t="s">
        <v>864</v>
      </c>
      <c r="D28" t="s">
        <v>864</v>
      </c>
      <c r="E28" t="s">
        <v>864</v>
      </c>
      <c r="F28" t="s">
        <v>864</v>
      </c>
      <c r="AB28" t="s">
        <v>698</v>
      </c>
      <c r="AC28" t="s">
        <v>698</v>
      </c>
      <c r="AD28" t="s">
        <v>698</v>
      </c>
      <c r="AH28" t="s">
        <v>756</v>
      </c>
      <c r="AI28" t="s">
        <v>756</v>
      </c>
      <c r="AJ28" t="s">
        <v>611</v>
      </c>
      <c r="AK28" t="s">
        <v>611</v>
      </c>
      <c r="AM28" t="s">
        <v>936</v>
      </c>
      <c r="AN28" t="s">
        <v>936</v>
      </c>
      <c r="AO28" t="s">
        <v>789</v>
      </c>
      <c r="AP28" t="s">
        <v>903</v>
      </c>
      <c r="AR28" t="s">
        <v>1056</v>
      </c>
    </row>
    <row r="29" spans="3:44" x14ac:dyDescent="0.3">
      <c r="C29" t="s">
        <v>681</v>
      </c>
      <c r="D29" t="s">
        <v>681</v>
      </c>
      <c r="E29" t="s">
        <v>681</v>
      </c>
      <c r="F29" t="s">
        <v>681</v>
      </c>
      <c r="AB29" t="s">
        <v>944</v>
      </c>
      <c r="AC29" t="s">
        <v>944</v>
      </c>
      <c r="AD29" t="s">
        <v>944</v>
      </c>
      <c r="AH29" t="s">
        <v>926</v>
      </c>
      <c r="AI29" t="s">
        <v>926</v>
      </c>
      <c r="AJ29" t="s">
        <v>607</v>
      </c>
      <c r="AK29" t="s">
        <v>607</v>
      </c>
      <c r="AM29" t="s">
        <v>815</v>
      </c>
      <c r="AN29" t="s">
        <v>815</v>
      </c>
      <c r="AO29" t="s">
        <v>812</v>
      </c>
      <c r="AP29" t="s">
        <v>886</v>
      </c>
      <c r="AR29" t="s">
        <v>957</v>
      </c>
    </row>
    <row r="30" spans="3:44" x14ac:dyDescent="0.3">
      <c r="C30" t="s">
        <v>622</v>
      </c>
      <c r="D30" t="s">
        <v>622</v>
      </c>
      <c r="E30" t="s">
        <v>622</v>
      </c>
      <c r="F30" t="s">
        <v>622</v>
      </c>
      <c r="AB30" t="s">
        <v>562</v>
      </c>
      <c r="AC30" t="s">
        <v>562</v>
      </c>
      <c r="AD30" t="s">
        <v>562</v>
      </c>
      <c r="AH30" t="s">
        <v>696</v>
      </c>
      <c r="AI30" t="s">
        <v>696</v>
      </c>
      <c r="AJ30" t="s">
        <v>740</v>
      </c>
      <c r="AK30" t="s">
        <v>740</v>
      </c>
      <c r="AM30" t="s">
        <v>817</v>
      </c>
      <c r="AN30" t="s">
        <v>817</v>
      </c>
      <c r="AO30" t="s">
        <v>847</v>
      </c>
      <c r="AP30" t="s">
        <v>1106</v>
      </c>
      <c r="AR30" t="s">
        <v>951</v>
      </c>
    </row>
    <row r="31" spans="3:44" x14ac:dyDescent="0.3">
      <c r="C31" t="s">
        <v>764</v>
      </c>
      <c r="D31" t="s">
        <v>764</v>
      </c>
      <c r="E31" t="s">
        <v>764</v>
      </c>
      <c r="F31" t="s">
        <v>764</v>
      </c>
      <c r="AB31" t="s">
        <v>558</v>
      </c>
      <c r="AC31" t="s">
        <v>558</v>
      </c>
      <c r="AD31" t="s">
        <v>558</v>
      </c>
      <c r="AH31" t="s">
        <v>705</v>
      </c>
      <c r="AI31" t="s">
        <v>705</v>
      </c>
      <c r="AJ31" t="s">
        <v>625</v>
      </c>
      <c r="AK31" t="s">
        <v>625</v>
      </c>
      <c r="AM31" t="s">
        <v>981</v>
      </c>
      <c r="AN31" t="s">
        <v>981</v>
      </c>
      <c r="AO31" t="s">
        <v>806</v>
      </c>
      <c r="AP31" t="s">
        <v>895</v>
      </c>
      <c r="AR31" t="s">
        <v>961</v>
      </c>
    </row>
    <row r="32" spans="3:44" x14ac:dyDescent="0.3">
      <c r="C32" t="s">
        <v>472</v>
      </c>
      <c r="D32" t="s">
        <v>472</v>
      </c>
      <c r="E32" t="s">
        <v>472</v>
      </c>
      <c r="F32" t="s">
        <v>472</v>
      </c>
      <c r="AB32" t="s">
        <v>567</v>
      </c>
      <c r="AC32" t="s">
        <v>567</v>
      </c>
      <c r="AD32" t="s">
        <v>567</v>
      </c>
      <c r="AH32" t="s">
        <v>1035</v>
      </c>
      <c r="AI32" t="s">
        <v>1035</v>
      </c>
      <c r="AJ32" t="s">
        <v>743</v>
      </c>
      <c r="AK32" t="s">
        <v>743</v>
      </c>
      <c r="AM32" t="s">
        <v>780</v>
      </c>
      <c r="AN32" t="s">
        <v>780</v>
      </c>
      <c r="AO32" t="s">
        <v>798</v>
      </c>
      <c r="AP32" t="s">
        <v>876</v>
      </c>
      <c r="AR32" t="s">
        <v>968</v>
      </c>
    </row>
    <row r="33" spans="3:44" x14ac:dyDescent="0.3">
      <c r="C33" t="s">
        <v>471</v>
      </c>
      <c r="D33" t="s">
        <v>471</v>
      </c>
      <c r="E33" t="s">
        <v>471</v>
      </c>
      <c r="F33" t="s">
        <v>471</v>
      </c>
      <c r="AB33" t="s">
        <v>709</v>
      </c>
      <c r="AC33" t="s">
        <v>709</v>
      </c>
      <c r="AD33" t="s">
        <v>709</v>
      </c>
      <c r="AH33" t="s">
        <v>641</v>
      </c>
      <c r="AI33" t="s">
        <v>641</v>
      </c>
      <c r="AJ33" t="s">
        <v>734</v>
      </c>
      <c r="AK33" t="s">
        <v>734</v>
      </c>
      <c r="AM33" t="s">
        <v>596</v>
      </c>
      <c r="AN33" t="s">
        <v>596</v>
      </c>
      <c r="AO33" t="s">
        <v>956</v>
      </c>
      <c r="AP33" t="s">
        <v>933</v>
      </c>
      <c r="AR33" t="s">
        <v>949</v>
      </c>
    </row>
    <row r="34" spans="3:44" x14ac:dyDescent="0.3">
      <c r="C34" t="s">
        <v>897</v>
      </c>
      <c r="D34" t="s">
        <v>897</v>
      </c>
      <c r="E34" t="s">
        <v>897</v>
      </c>
      <c r="F34" t="s">
        <v>897</v>
      </c>
      <c r="AB34" t="s">
        <v>566</v>
      </c>
      <c r="AC34" t="s">
        <v>566</v>
      </c>
      <c r="AD34" t="s">
        <v>566</v>
      </c>
      <c r="AM34" t="s">
        <v>810</v>
      </c>
      <c r="AN34" t="s">
        <v>810</v>
      </c>
      <c r="AO34" t="s">
        <v>1100</v>
      </c>
      <c r="AP34" t="s">
        <v>1036</v>
      </c>
      <c r="AR34" t="s">
        <v>1054</v>
      </c>
    </row>
    <row r="35" spans="3:44" x14ac:dyDescent="0.3">
      <c r="C35" t="s">
        <v>718</v>
      </c>
      <c r="D35" t="s">
        <v>718</v>
      </c>
      <c r="E35" t="s">
        <v>718</v>
      </c>
      <c r="F35" t="s">
        <v>718</v>
      </c>
      <c r="AB35" t="s">
        <v>943</v>
      </c>
      <c r="AC35" t="s">
        <v>943</v>
      </c>
      <c r="AD35" t="s">
        <v>943</v>
      </c>
      <c r="AM35" t="s">
        <v>823</v>
      </c>
      <c r="AN35" t="s">
        <v>823</v>
      </c>
      <c r="AO35" t="s">
        <v>808</v>
      </c>
      <c r="AP35" t="s">
        <v>1098</v>
      </c>
      <c r="AR35" t="s">
        <v>972</v>
      </c>
    </row>
    <row r="36" spans="3:44" x14ac:dyDescent="0.3">
      <c r="C36" t="s">
        <v>1021</v>
      </c>
      <c r="D36" t="s">
        <v>1021</v>
      </c>
      <c r="E36" t="s">
        <v>1021</v>
      </c>
      <c r="F36" t="s">
        <v>1021</v>
      </c>
      <c r="AB36" t="s">
        <v>941</v>
      </c>
      <c r="AC36" t="s">
        <v>941</v>
      </c>
      <c r="AD36" t="s">
        <v>941</v>
      </c>
      <c r="AM36" t="s">
        <v>769</v>
      </c>
      <c r="AN36" t="s">
        <v>769</v>
      </c>
      <c r="AO36" t="s">
        <v>786</v>
      </c>
      <c r="AP36" t="s">
        <v>1110</v>
      </c>
      <c r="AR36" t="s">
        <v>1051</v>
      </c>
    </row>
    <row r="37" spans="3:44" x14ac:dyDescent="0.3">
      <c r="C37" t="s">
        <v>758</v>
      </c>
      <c r="D37" t="s">
        <v>758</v>
      </c>
      <c r="E37" t="s">
        <v>758</v>
      </c>
      <c r="F37" t="s">
        <v>758</v>
      </c>
      <c r="AB37" t="s">
        <v>1038</v>
      </c>
      <c r="AC37" t="s">
        <v>1038</v>
      </c>
      <c r="AD37" t="s">
        <v>1038</v>
      </c>
      <c r="AM37" t="s">
        <v>893</v>
      </c>
      <c r="AN37" t="s">
        <v>893</v>
      </c>
      <c r="AO37" t="s">
        <v>1001</v>
      </c>
      <c r="AP37" t="s">
        <v>530</v>
      </c>
      <c r="AR37" t="s">
        <v>1112</v>
      </c>
    </row>
    <row r="38" spans="3:44" x14ac:dyDescent="0.3">
      <c r="C38" t="s">
        <v>870</v>
      </c>
      <c r="D38" t="s">
        <v>870</v>
      </c>
      <c r="E38" t="s">
        <v>870</v>
      </c>
      <c r="F38" t="s">
        <v>870</v>
      </c>
      <c r="AO38" t="s">
        <v>862</v>
      </c>
      <c r="AP38" t="s">
        <v>916</v>
      </c>
      <c r="AR38" t="s">
        <v>1111</v>
      </c>
    </row>
    <row r="39" spans="3:44" x14ac:dyDescent="0.3">
      <c r="C39" t="s">
        <v>849</v>
      </c>
      <c r="D39" t="s">
        <v>849</v>
      </c>
      <c r="E39" t="s">
        <v>849</v>
      </c>
      <c r="F39" t="s">
        <v>849</v>
      </c>
      <c r="AO39" t="s">
        <v>846</v>
      </c>
      <c r="AP39" t="s">
        <v>907</v>
      </c>
      <c r="AR39" t="s">
        <v>967</v>
      </c>
    </row>
    <row r="40" spans="3:44" x14ac:dyDescent="0.3">
      <c r="C40" t="s">
        <v>858</v>
      </c>
      <c r="D40" t="s">
        <v>858</v>
      </c>
      <c r="E40" t="s">
        <v>858</v>
      </c>
      <c r="F40" t="s">
        <v>858</v>
      </c>
      <c r="AO40" t="s">
        <v>799</v>
      </c>
      <c r="AP40" t="s">
        <v>1026</v>
      </c>
      <c r="AR40" t="s">
        <v>960</v>
      </c>
    </row>
    <row r="41" spans="3:44" x14ac:dyDescent="0.3">
      <c r="C41" t="s">
        <v>855</v>
      </c>
      <c r="D41" t="s">
        <v>855</v>
      </c>
      <c r="E41" t="s">
        <v>855</v>
      </c>
      <c r="F41" t="s">
        <v>855</v>
      </c>
      <c r="AO41" t="s">
        <v>805</v>
      </c>
      <c r="AP41" t="s">
        <v>891</v>
      </c>
      <c r="AR41" t="s">
        <v>965</v>
      </c>
    </row>
    <row r="42" spans="3:44" x14ac:dyDescent="0.3">
      <c r="C42" t="s">
        <v>866</v>
      </c>
      <c r="D42" t="s">
        <v>866</v>
      </c>
      <c r="E42" t="s">
        <v>866</v>
      </c>
      <c r="F42" t="s">
        <v>866</v>
      </c>
      <c r="AO42" t="s">
        <v>1029</v>
      </c>
      <c r="AP42" t="s">
        <v>931</v>
      </c>
      <c r="AR42" t="s">
        <v>945</v>
      </c>
    </row>
    <row r="43" spans="3:44" x14ac:dyDescent="0.3">
      <c r="C43" t="s">
        <v>1096</v>
      </c>
      <c r="D43" t="s">
        <v>1096</v>
      </c>
      <c r="E43" t="s">
        <v>1096</v>
      </c>
      <c r="F43" t="s">
        <v>1096</v>
      </c>
      <c r="AO43" t="s">
        <v>802</v>
      </c>
      <c r="AP43" t="s">
        <v>919</v>
      </c>
      <c r="AR43" t="s">
        <v>1086</v>
      </c>
    </row>
    <row r="44" spans="3:44" x14ac:dyDescent="0.3">
      <c r="C44" t="s">
        <v>856</v>
      </c>
      <c r="D44" t="s">
        <v>856</v>
      </c>
      <c r="E44" t="s">
        <v>856</v>
      </c>
      <c r="F44" t="s">
        <v>856</v>
      </c>
      <c r="AO44" t="s">
        <v>896</v>
      </c>
      <c r="AP44" t="s">
        <v>854</v>
      </c>
      <c r="AR44" t="s">
        <v>1055</v>
      </c>
    </row>
    <row r="45" spans="3:44" x14ac:dyDescent="0.3">
      <c r="C45" t="s">
        <v>809</v>
      </c>
      <c r="D45" t="s">
        <v>809</v>
      </c>
      <c r="E45" t="s">
        <v>809</v>
      </c>
      <c r="F45" t="s">
        <v>809</v>
      </c>
      <c r="AO45" t="s">
        <v>517</v>
      </c>
      <c r="AP45" t="s">
        <v>902</v>
      </c>
      <c r="AR45" t="s">
        <v>974</v>
      </c>
    </row>
    <row r="46" spans="3:44" s="52" customFormat="1" x14ac:dyDescent="0.3">
      <c r="C46" t="s">
        <v>880</v>
      </c>
      <c r="D46" t="s">
        <v>880</v>
      </c>
      <c r="E46" t="s">
        <v>880</v>
      </c>
      <c r="F46" t="s">
        <v>880</v>
      </c>
      <c r="J46" s="64"/>
      <c r="K46" s="81"/>
      <c r="Q46" s="84"/>
      <c r="AA46" s="64"/>
      <c r="AE46" s="84"/>
      <c r="AF46" s="84"/>
      <c r="AJ46" s="84"/>
      <c r="AK46" s="84"/>
      <c r="AL46" s="84"/>
      <c r="AN46" s="67"/>
      <c r="AO46" t="s">
        <v>797</v>
      </c>
      <c r="AP46" t="s">
        <v>881</v>
      </c>
      <c r="AR46" t="s">
        <v>1057</v>
      </c>
    </row>
    <row r="47" spans="3:44" s="8" customFormat="1" x14ac:dyDescent="0.3">
      <c r="C47" t="s">
        <v>861</v>
      </c>
      <c r="D47" t="s">
        <v>861</v>
      </c>
      <c r="E47" t="s">
        <v>861</v>
      </c>
      <c r="F47" t="s">
        <v>861</v>
      </c>
      <c r="J47" s="64"/>
      <c r="K47" s="81"/>
      <c r="Q47" s="84"/>
      <c r="AA47" s="64"/>
      <c r="AE47" s="84"/>
      <c r="AF47" s="84"/>
      <c r="AJ47" s="84"/>
      <c r="AK47" s="84"/>
      <c r="AL47" s="84"/>
      <c r="AN47" s="69"/>
      <c r="AO47" t="s">
        <v>781</v>
      </c>
      <c r="AP47" t="s">
        <v>887</v>
      </c>
      <c r="AR47" t="s">
        <v>962</v>
      </c>
    </row>
    <row r="48" spans="3:44" x14ac:dyDescent="0.3">
      <c r="C48" t="s">
        <v>1105</v>
      </c>
      <c r="D48" t="s">
        <v>1105</v>
      </c>
      <c r="E48" t="s">
        <v>1105</v>
      </c>
      <c r="F48" t="s">
        <v>1105</v>
      </c>
      <c r="AO48" t="s">
        <v>796</v>
      </c>
      <c r="AP48" t="s">
        <v>1015</v>
      </c>
      <c r="AR48" t="s">
        <v>1092</v>
      </c>
    </row>
    <row r="49" spans="3:44" x14ac:dyDescent="0.3">
      <c r="C49" t="s">
        <v>863</v>
      </c>
      <c r="D49" t="s">
        <v>863</v>
      </c>
      <c r="E49" t="s">
        <v>863</v>
      </c>
      <c r="F49" t="s">
        <v>863</v>
      </c>
      <c r="AO49" t="s">
        <v>813</v>
      </c>
      <c r="AP49" t="s">
        <v>909</v>
      </c>
      <c r="AR49" t="s">
        <v>1052</v>
      </c>
    </row>
    <row r="50" spans="3:44" x14ac:dyDescent="0.3">
      <c r="C50" t="s">
        <v>507</v>
      </c>
      <c r="D50" t="s">
        <v>507</v>
      </c>
      <c r="E50" t="s">
        <v>507</v>
      </c>
      <c r="F50" t="s">
        <v>507</v>
      </c>
      <c r="AO50" t="s">
        <v>993</v>
      </c>
      <c r="AP50" t="s">
        <v>843</v>
      </c>
      <c r="AR50" t="s">
        <v>948</v>
      </c>
    </row>
    <row r="51" spans="3:44" x14ac:dyDescent="0.3">
      <c r="C51" t="s">
        <v>1097</v>
      </c>
      <c r="D51" t="s">
        <v>1097</v>
      </c>
      <c r="E51" t="s">
        <v>1097</v>
      </c>
      <c r="F51" t="s">
        <v>1097</v>
      </c>
      <c r="AO51" t="s">
        <v>801</v>
      </c>
      <c r="AP51" t="s">
        <v>873</v>
      </c>
      <c r="AR51" t="s">
        <v>1049</v>
      </c>
    </row>
    <row r="52" spans="3:44" x14ac:dyDescent="0.3">
      <c r="C52" t="s">
        <v>867</v>
      </c>
      <c r="D52" t="s">
        <v>867</v>
      </c>
      <c r="E52" t="s">
        <v>867</v>
      </c>
      <c r="F52" t="s">
        <v>867</v>
      </c>
      <c r="AO52" t="s">
        <v>617</v>
      </c>
      <c r="AP52" t="s">
        <v>918</v>
      </c>
      <c r="AR52" t="s">
        <v>1050</v>
      </c>
    </row>
    <row r="53" spans="3:44" x14ac:dyDescent="0.3">
      <c r="C53" t="s">
        <v>700</v>
      </c>
      <c r="D53" t="s">
        <v>700</v>
      </c>
      <c r="E53" t="s">
        <v>700</v>
      </c>
      <c r="F53" t="s">
        <v>700</v>
      </c>
      <c r="AO53" t="s">
        <v>800</v>
      </c>
      <c r="AP53" t="s">
        <v>930</v>
      </c>
      <c r="AR53" t="s">
        <v>959</v>
      </c>
    </row>
    <row r="54" spans="3:44" x14ac:dyDescent="0.3">
      <c r="C54" t="s">
        <v>1041</v>
      </c>
      <c r="D54" t="s">
        <v>1041</v>
      </c>
      <c r="E54" t="s">
        <v>1041</v>
      </c>
      <c r="F54" t="s">
        <v>1041</v>
      </c>
      <c r="AO54" t="s">
        <v>777</v>
      </c>
      <c r="AP54" t="s">
        <v>1043</v>
      </c>
      <c r="AR54" t="s">
        <v>963</v>
      </c>
    </row>
    <row r="55" spans="3:44" x14ac:dyDescent="0.3">
      <c r="C55" t="s">
        <v>850</v>
      </c>
      <c r="D55" t="s">
        <v>850</v>
      </c>
      <c r="E55" t="s">
        <v>850</v>
      </c>
      <c r="F55" t="s">
        <v>850</v>
      </c>
      <c r="AO55" t="s">
        <v>774</v>
      </c>
      <c r="AP55" t="s">
        <v>911</v>
      </c>
      <c r="AR55" t="s">
        <v>970</v>
      </c>
    </row>
    <row r="56" spans="3:44" x14ac:dyDescent="0.3">
      <c r="C56" t="s">
        <v>492</v>
      </c>
      <c r="D56" t="s">
        <v>492</v>
      </c>
      <c r="E56" t="s">
        <v>492</v>
      </c>
      <c r="F56" t="s">
        <v>492</v>
      </c>
      <c r="AO56" t="s">
        <v>804</v>
      </c>
      <c r="AP56" t="s">
        <v>695</v>
      </c>
      <c r="AR56" t="s">
        <v>971</v>
      </c>
    </row>
    <row r="57" spans="3:44" x14ac:dyDescent="0.3">
      <c r="C57" t="s">
        <v>840</v>
      </c>
      <c r="D57" t="s">
        <v>840</v>
      </c>
      <c r="E57" t="s">
        <v>840</v>
      </c>
      <c r="F57" t="s">
        <v>840</v>
      </c>
      <c r="AO57" t="s">
        <v>776</v>
      </c>
      <c r="AP57" t="s">
        <v>1028</v>
      </c>
      <c r="AR57" t="s">
        <v>955</v>
      </c>
    </row>
    <row r="58" spans="3:44" x14ac:dyDescent="0.3">
      <c r="C58" t="s">
        <v>940</v>
      </c>
      <c r="D58" t="s">
        <v>940</v>
      </c>
      <c r="E58" t="s">
        <v>940</v>
      </c>
      <c r="F58" t="s">
        <v>940</v>
      </c>
      <c r="AO58" t="s">
        <v>743</v>
      </c>
      <c r="AP58" t="s">
        <v>883</v>
      </c>
      <c r="AR58" t="s">
        <v>973</v>
      </c>
    </row>
    <row r="59" spans="3:44" x14ac:dyDescent="0.3">
      <c r="C59" t="s">
        <v>851</v>
      </c>
      <c r="D59" t="s">
        <v>851</v>
      </c>
      <c r="E59" t="s">
        <v>851</v>
      </c>
      <c r="F59" t="s">
        <v>851</v>
      </c>
      <c r="AO59" t="s">
        <v>536</v>
      </c>
      <c r="AP59" t="s">
        <v>904</v>
      </c>
      <c r="AR59" t="s">
        <v>975</v>
      </c>
    </row>
    <row r="60" spans="3:44" x14ac:dyDescent="0.3">
      <c r="AO60" t="s">
        <v>784</v>
      </c>
      <c r="AP60" t="s">
        <v>905</v>
      </c>
      <c r="AR60" t="s">
        <v>1094</v>
      </c>
    </row>
    <row r="61" spans="3:44" x14ac:dyDescent="0.3">
      <c r="AO61" t="s">
        <v>841</v>
      </c>
      <c r="AP61" t="s">
        <v>923</v>
      </c>
    </row>
    <row r="62" spans="3:44" x14ac:dyDescent="0.3">
      <c r="AP62" t="s">
        <v>942</v>
      </c>
    </row>
    <row r="63" spans="3:44" x14ac:dyDescent="0.3">
      <c r="AP63" t="s">
        <v>476</v>
      </c>
    </row>
    <row r="64" spans="3:44" x14ac:dyDescent="0.3">
      <c r="AP64" t="s">
        <v>901</v>
      </c>
    </row>
    <row r="65" spans="10:42" x14ac:dyDescent="0.3">
      <c r="AP65" t="s">
        <v>914</v>
      </c>
    </row>
    <row r="66" spans="10:42" x14ac:dyDescent="0.3">
      <c r="AP66" t="s">
        <v>494</v>
      </c>
    </row>
    <row r="67" spans="10:42" x14ac:dyDescent="0.3">
      <c r="AP67" t="s">
        <v>937</v>
      </c>
    </row>
    <row r="68" spans="10:42" x14ac:dyDescent="0.3">
      <c r="AP68" t="s">
        <v>927</v>
      </c>
    </row>
    <row r="69" spans="10:42" s="52" customFormat="1" x14ac:dyDescent="0.3">
      <c r="J69" s="64"/>
      <c r="K69" s="81"/>
      <c r="Q69" s="84"/>
      <c r="AA69" s="64"/>
      <c r="AE69" s="84"/>
      <c r="AF69" s="84"/>
      <c r="AJ69" s="84"/>
      <c r="AK69" s="84"/>
      <c r="AL69" s="84"/>
      <c r="AN69" s="67"/>
      <c r="AP69" t="s">
        <v>1108</v>
      </c>
    </row>
    <row r="70" spans="10:42" s="8" customFormat="1" x14ac:dyDescent="0.3">
      <c r="J70" s="64"/>
      <c r="K70" s="81"/>
      <c r="Q70" s="84"/>
      <c r="AA70" s="64"/>
      <c r="AE70" s="84"/>
      <c r="AF70" s="84"/>
      <c r="AJ70" s="84"/>
      <c r="AK70" s="84"/>
      <c r="AL70" s="84"/>
      <c r="AN70" s="69"/>
      <c r="AP70" t="s">
        <v>751</v>
      </c>
    </row>
    <row r="71" spans="10:42" x14ac:dyDescent="0.3">
      <c r="AP71" t="s">
        <v>860</v>
      </c>
    </row>
    <row r="72" spans="10:42" x14ac:dyDescent="0.3">
      <c r="AP72" t="s">
        <v>874</v>
      </c>
    </row>
    <row r="73" spans="10:42" x14ac:dyDescent="0.3">
      <c r="AP73" t="s">
        <v>925</v>
      </c>
    </row>
    <row r="74" spans="10:42" x14ac:dyDescent="0.3">
      <c r="AP74" t="s">
        <v>932</v>
      </c>
    </row>
    <row r="75" spans="10:42" x14ac:dyDescent="0.3">
      <c r="AP75" t="s">
        <v>935</v>
      </c>
    </row>
    <row r="76" spans="10:42" x14ac:dyDescent="0.3">
      <c r="AP76" t="s">
        <v>716</v>
      </c>
    </row>
    <row r="77" spans="10:42" x14ac:dyDescent="0.3">
      <c r="AP77" t="s">
        <v>877</v>
      </c>
    </row>
    <row r="78" spans="10:42" x14ac:dyDescent="0.3">
      <c r="AP78" t="s">
        <v>894</v>
      </c>
    </row>
    <row r="79" spans="10:42" x14ac:dyDescent="0.3">
      <c r="AP79" t="s">
        <v>906</v>
      </c>
    </row>
    <row r="80" spans="10:42" x14ac:dyDescent="0.3">
      <c r="AP80" t="s">
        <v>924</v>
      </c>
    </row>
    <row r="81" spans="10:42" x14ac:dyDescent="0.3">
      <c r="AP81" t="s">
        <v>872</v>
      </c>
    </row>
    <row r="82" spans="10:42" x14ac:dyDescent="0.3">
      <c r="AP82" t="s">
        <v>908</v>
      </c>
    </row>
    <row r="83" spans="10:42" x14ac:dyDescent="0.3">
      <c r="AP83" t="s">
        <v>1041</v>
      </c>
    </row>
    <row r="84" spans="10:42" x14ac:dyDescent="0.3">
      <c r="AP84" t="s">
        <v>922</v>
      </c>
    </row>
    <row r="85" spans="10:42" x14ac:dyDescent="0.3">
      <c r="AP85" t="s">
        <v>899</v>
      </c>
    </row>
    <row r="86" spans="10:42" x14ac:dyDescent="0.3">
      <c r="AP86" t="s">
        <v>882</v>
      </c>
    </row>
    <row r="96" spans="10:42" s="52" customFormat="1" x14ac:dyDescent="0.3">
      <c r="J96" s="64"/>
      <c r="K96" s="81"/>
      <c r="Q96" s="84"/>
      <c r="AA96" s="64"/>
      <c r="AE96" s="84"/>
      <c r="AF96" s="84"/>
      <c r="AJ96" s="84"/>
      <c r="AK96" s="84"/>
      <c r="AL96" s="84"/>
      <c r="AN96" s="67"/>
    </row>
    <row r="97" spans="10:40" s="8" customFormat="1" x14ac:dyDescent="0.3">
      <c r="J97" s="64"/>
      <c r="K97" s="81"/>
      <c r="Q97" s="84"/>
      <c r="AA97" s="64"/>
      <c r="AE97" s="84"/>
      <c r="AF97" s="84"/>
      <c r="AJ97" s="84"/>
      <c r="AK97" s="84"/>
      <c r="AL97" s="84"/>
      <c r="AN97" s="69"/>
    </row>
  </sheetData>
  <sortState ref="F9:F59">
    <sortCondition ref="F8"/>
  </sortState>
  <mergeCells count="9">
    <mergeCell ref="AM5:AN5"/>
    <mergeCell ref="AH5:AI5"/>
    <mergeCell ref="AJ5:AK5"/>
    <mergeCell ref="C5:F5"/>
    <mergeCell ref="N5:O5"/>
    <mergeCell ref="R5:T5"/>
    <mergeCell ref="W5:X5"/>
    <mergeCell ref="Y5:Z5"/>
    <mergeCell ref="AB5:AD5"/>
  </mergeCell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5"/>
  <sheetViews>
    <sheetView workbookViewId="0">
      <selection activeCell="B35" sqref="B35"/>
    </sheetView>
  </sheetViews>
  <sheetFormatPr defaultColWidth="15.6640625" defaultRowHeight="14.4" x14ac:dyDescent="0.3"/>
  <cols>
    <col min="1" max="1" width="17.33203125" customWidth="1"/>
  </cols>
  <sheetData>
    <row r="1" spans="1:13" s="231" customFormat="1" ht="15.6" x14ac:dyDescent="0.3">
      <c r="A1" s="255">
        <v>1</v>
      </c>
      <c r="B1" s="255">
        <v>2</v>
      </c>
      <c r="C1" s="255">
        <v>3</v>
      </c>
      <c r="D1" s="255">
        <v>4</v>
      </c>
      <c r="E1" s="255">
        <v>5</v>
      </c>
      <c r="F1" s="231">
        <v>6</v>
      </c>
      <c r="G1" s="231">
        <v>7</v>
      </c>
      <c r="H1" s="231">
        <v>8</v>
      </c>
      <c r="I1" s="231">
        <v>9</v>
      </c>
      <c r="J1" s="231">
        <v>10</v>
      </c>
      <c r="K1" s="231">
        <v>11</v>
      </c>
      <c r="L1" s="231">
        <v>12</v>
      </c>
      <c r="M1" s="231">
        <v>13</v>
      </c>
    </row>
    <row r="2" spans="1:13" x14ac:dyDescent="0.3">
      <c r="A2" s="256">
        <f>'Cambs Appliances'!D9</f>
        <v>0</v>
      </c>
      <c r="B2" s="256">
        <f>'Cambs Appliances'!D19</f>
        <v>0</v>
      </c>
      <c r="C2" s="256">
        <f>'Cambs Appliances'!D29</f>
        <v>0</v>
      </c>
      <c r="D2" s="256">
        <f>'Cambs Appliances'!D39</f>
        <v>0</v>
      </c>
      <c r="E2" s="256">
        <f>'Cambs Appliances'!D49</f>
        <v>0</v>
      </c>
      <c r="F2">
        <f>'Cambs Appliances'!K9</f>
        <v>0</v>
      </c>
      <c r="G2">
        <f>'Cambs Appliances'!K19</f>
        <v>0</v>
      </c>
      <c r="H2">
        <f>'Cambs Appliances'!K29</f>
        <v>0</v>
      </c>
      <c r="I2">
        <f>'Cambs Appliances'!K39</f>
        <v>0</v>
      </c>
      <c r="J2">
        <f>'Cambs Appliances'!K49</f>
        <v>0</v>
      </c>
      <c r="K2">
        <f>'Cambs Appliances'!D62</f>
        <v>0</v>
      </c>
      <c r="L2">
        <f>'Cambs Appliances'!D72</f>
        <v>0</v>
      </c>
      <c r="M2">
        <f>'Cambs Appliances'!D82</f>
        <v>0</v>
      </c>
    </row>
    <row r="3" spans="1:13" x14ac:dyDescent="0.3">
      <c r="A3" s="256">
        <f>'Cambs Appliances'!D10</f>
        <v>0</v>
      </c>
      <c r="B3" s="256">
        <f>'Cambs Appliances'!D20</f>
        <v>0</v>
      </c>
      <c r="C3" s="256">
        <f>'Cambs Appliances'!D30</f>
        <v>0</v>
      </c>
      <c r="D3" s="256">
        <f>'Cambs Appliances'!D40</f>
        <v>0</v>
      </c>
      <c r="E3" s="256">
        <f>'Cambs Appliances'!D50</f>
        <v>0</v>
      </c>
      <c r="F3">
        <f>'Cambs Appliances'!K10</f>
        <v>0</v>
      </c>
      <c r="G3">
        <f>'Cambs Appliances'!K20</f>
        <v>0</v>
      </c>
      <c r="H3">
        <f>'Cambs Appliances'!K30</f>
        <v>0</v>
      </c>
      <c r="I3">
        <f>'Cambs Appliances'!K40</f>
        <v>0</v>
      </c>
      <c r="J3">
        <f>'Cambs Appliances'!K50</f>
        <v>0</v>
      </c>
      <c r="K3">
        <f>'Cambs Appliances'!D63</f>
        <v>0</v>
      </c>
      <c r="L3">
        <f>'Cambs Appliances'!D73</f>
        <v>0</v>
      </c>
      <c r="M3">
        <f>'Cambs Appliances'!D83</f>
        <v>0</v>
      </c>
    </row>
    <row r="4" spans="1:13" x14ac:dyDescent="0.3">
      <c r="A4" s="256">
        <f>'Cambs Appliances'!D11</f>
        <v>0</v>
      </c>
      <c r="B4" s="256">
        <f>'Cambs Appliances'!D21</f>
        <v>0</v>
      </c>
      <c r="C4" s="256">
        <f>'Cambs Appliances'!D31</f>
        <v>0</v>
      </c>
      <c r="D4" s="256">
        <f>'Cambs Appliances'!D41</f>
        <v>0</v>
      </c>
      <c r="E4" s="256">
        <f>'Cambs Appliances'!D51</f>
        <v>0</v>
      </c>
      <c r="F4">
        <f>'Cambs Appliances'!K11</f>
        <v>0</v>
      </c>
      <c r="G4">
        <f>'Cambs Appliances'!K21</f>
        <v>0</v>
      </c>
      <c r="H4">
        <f>'Cambs Appliances'!K31</f>
        <v>0</v>
      </c>
      <c r="I4">
        <f>'Cambs Appliances'!K41</f>
        <v>0</v>
      </c>
      <c r="J4">
        <f>'Cambs Appliances'!K51</f>
        <v>0</v>
      </c>
      <c r="K4">
        <f>'Cambs Appliances'!D64</f>
        <v>0</v>
      </c>
      <c r="L4">
        <f>'Cambs Appliances'!D74</f>
        <v>0</v>
      </c>
      <c r="M4">
        <f>'Cambs Appliances'!D84</f>
        <v>0</v>
      </c>
    </row>
    <row r="5" spans="1:13" x14ac:dyDescent="0.3">
      <c r="A5" s="256">
        <f>'Cambs Appliances'!D12</f>
        <v>0</v>
      </c>
      <c r="B5" s="256">
        <f>'Cambs Appliances'!D22</f>
        <v>0</v>
      </c>
      <c r="C5" s="256">
        <f>'Cambs Appliances'!D32</f>
        <v>0</v>
      </c>
      <c r="D5" s="256">
        <f>'Cambs Appliances'!D42</f>
        <v>0</v>
      </c>
      <c r="E5" s="256">
        <f>'Cambs Appliances'!D52</f>
        <v>0</v>
      </c>
      <c r="F5">
        <f>'Cambs Appliances'!K12</f>
        <v>0</v>
      </c>
      <c r="G5">
        <f>'Cambs Appliances'!K22</f>
        <v>0</v>
      </c>
      <c r="H5">
        <f>'Cambs Appliances'!K32</f>
        <v>0</v>
      </c>
      <c r="I5">
        <f>'Cambs Appliances'!K42</f>
        <v>0</v>
      </c>
      <c r="J5">
        <f>'Cambs Appliances'!K52</f>
        <v>0</v>
      </c>
      <c r="K5">
        <f>'Cambs Appliances'!D65</f>
        <v>0</v>
      </c>
      <c r="L5">
        <f>'Cambs Appliances'!D75</f>
        <v>0</v>
      </c>
      <c r="M5">
        <f>'Cambs Appliances'!D85</f>
        <v>0</v>
      </c>
    </row>
    <row r="6" spans="1:13" x14ac:dyDescent="0.3">
      <c r="A6" s="256">
        <f>'Cambs Appliances'!D13</f>
        <v>0</v>
      </c>
      <c r="B6" s="256">
        <f>'Cambs Appliances'!D23</f>
        <v>0</v>
      </c>
      <c r="C6" s="256">
        <f>'Cambs Appliances'!D33</f>
        <v>0</v>
      </c>
      <c r="D6" s="256">
        <f>'Cambs Appliances'!D43</f>
        <v>0</v>
      </c>
      <c r="E6" s="256">
        <f>'Cambs Appliances'!D53</f>
        <v>0</v>
      </c>
      <c r="F6">
        <f>'Cambs Appliances'!K13</f>
        <v>0</v>
      </c>
      <c r="G6">
        <f>'Cambs Appliances'!K23</f>
        <v>0</v>
      </c>
      <c r="H6">
        <f>'Cambs Appliances'!K33</f>
        <v>0</v>
      </c>
      <c r="I6">
        <f>'Cambs Appliances'!K43</f>
        <v>0</v>
      </c>
      <c r="J6">
        <f>'Cambs Appliances'!K53</f>
        <v>0</v>
      </c>
      <c r="K6">
        <f>'Cambs Appliances'!D66</f>
        <v>0</v>
      </c>
      <c r="L6">
        <f>'Cambs Appliances'!D76</f>
        <v>0</v>
      </c>
      <c r="M6">
        <f>'Cambs Appliances'!D86</f>
        <v>0</v>
      </c>
    </row>
    <row r="7" spans="1:13" x14ac:dyDescent="0.3">
      <c r="A7" s="256">
        <f>'Cambs Appliances'!D14</f>
        <v>0</v>
      </c>
      <c r="B7" s="256">
        <f>'Cambs Appliances'!D24</f>
        <v>0</v>
      </c>
      <c r="C7" s="256">
        <f>'Cambs Appliances'!D34</f>
        <v>0</v>
      </c>
      <c r="D7" s="256">
        <f>'Cambs Appliances'!D44</f>
        <v>0</v>
      </c>
      <c r="E7" s="256">
        <f>'Cambs Appliances'!D54</f>
        <v>0</v>
      </c>
      <c r="F7">
        <f>'Cambs Appliances'!K14</f>
        <v>0</v>
      </c>
      <c r="G7">
        <f>'Cambs Appliances'!K24</f>
        <v>0</v>
      </c>
      <c r="H7">
        <f>'Cambs Appliances'!K34</f>
        <v>0</v>
      </c>
      <c r="I7">
        <f>'Cambs Appliances'!K44</f>
        <v>0</v>
      </c>
      <c r="J7">
        <f>'Cambs Appliances'!K54</f>
        <v>0</v>
      </c>
      <c r="K7">
        <f>'Cambs Appliances'!D67</f>
        <v>0</v>
      </c>
      <c r="L7">
        <f>'Cambs Appliances'!D77</f>
        <v>0</v>
      </c>
      <c r="M7">
        <f>'Cambs Appliances'!D87</f>
        <v>0</v>
      </c>
    </row>
    <row r="9" spans="1:13" s="231" customFormat="1" ht="15.6" x14ac:dyDescent="0.3">
      <c r="A9" s="231">
        <v>14</v>
      </c>
      <c r="B9" s="231">
        <v>15</v>
      </c>
      <c r="C9" s="231">
        <v>16</v>
      </c>
      <c r="D9" s="231">
        <v>17</v>
      </c>
      <c r="E9" s="231">
        <v>18</v>
      </c>
      <c r="F9" s="231">
        <v>19</v>
      </c>
      <c r="G9" s="231">
        <v>20</v>
      </c>
      <c r="H9" s="231" t="s">
        <v>1179</v>
      </c>
      <c r="I9" s="231" t="s">
        <v>1180</v>
      </c>
      <c r="J9" s="231" t="s">
        <v>1181</v>
      </c>
      <c r="K9" s="231" t="s">
        <v>1182</v>
      </c>
      <c r="L9" s="231" t="s">
        <v>1183</v>
      </c>
      <c r="M9" s="231" t="s">
        <v>1184</v>
      </c>
    </row>
    <row r="10" spans="1:13" x14ac:dyDescent="0.3">
      <c r="A10">
        <f>'Cambs Appliances'!D92</f>
        <v>0</v>
      </c>
      <c r="B10">
        <f>'Cambs Appliances'!D102</f>
        <v>0</v>
      </c>
      <c r="C10">
        <f>'Cambs Appliances'!K62</f>
        <v>0</v>
      </c>
      <c r="D10">
        <f>'Cambs Appliances'!K72</f>
        <v>0</v>
      </c>
      <c r="E10">
        <f>'Cambs Appliances'!K82</f>
        <v>0</v>
      </c>
      <c r="F10">
        <f>'Cambs Appliances'!K92</f>
        <v>0</v>
      </c>
      <c r="G10">
        <f>'Cambs Appliances'!K102</f>
        <v>0</v>
      </c>
      <c r="H10">
        <f>'Cambs Appliances'!R9</f>
        <v>0</v>
      </c>
      <c r="I10">
        <f>'Cambs Appliances'!R19</f>
        <v>0</v>
      </c>
      <c r="J10">
        <f>'Cambs Appliances'!R29</f>
        <v>0</v>
      </c>
      <c r="K10">
        <f>'Cambs Appliances'!R39</f>
        <v>0</v>
      </c>
      <c r="L10">
        <f>'Cambs Appliances'!R62</f>
        <v>0</v>
      </c>
      <c r="M10">
        <f>'Cambs Appliances'!R72</f>
        <v>0</v>
      </c>
    </row>
    <row r="11" spans="1:13" x14ac:dyDescent="0.3">
      <c r="A11">
        <f>'Cambs Appliances'!D93</f>
        <v>0</v>
      </c>
      <c r="B11">
        <f>'Cambs Appliances'!D103</f>
        <v>0</v>
      </c>
      <c r="C11">
        <f>'Cambs Appliances'!K63</f>
        <v>0</v>
      </c>
      <c r="D11">
        <f>'Cambs Appliances'!K73</f>
        <v>0</v>
      </c>
      <c r="E11">
        <f>'Cambs Appliances'!K83</f>
        <v>0</v>
      </c>
      <c r="F11">
        <f>'Cambs Appliances'!K93</f>
        <v>0</v>
      </c>
      <c r="G11">
        <f>'Cambs Appliances'!K103</f>
        <v>0</v>
      </c>
      <c r="H11">
        <f>'Cambs Appliances'!R10</f>
        <v>0</v>
      </c>
      <c r="I11">
        <f>'Cambs Appliances'!R20</f>
        <v>0</v>
      </c>
      <c r="J11">
        <f>'Cambs Appliances'!R30</f>
        <v>0</v>
      </c>
      <c r="K11">
        <f>'Cambs Appliances'!R40</f>
        <v>0</v>
      </c>
      <c r="L11">
        <f>'Cambs Appliances'!R63</f>
        <v>0</v>
      </c>
      <c r="M11">
        <f>'Cambs Appliances'!R73</f>
        <v>0</v>
      </c>
    </row>
    <row r="12" spans="1:13" x14ac:dyDescent="0.3">
      <c r="A12">
        <f>'Cambs Appliances'!D94</f>
        <v>0</v>
      </c>
      <c r="B12">
        <f>'Cambs Appliances'!D104</f>
        <v>0</v>
      </c>
      <c r="C12">
        <f>'Cambs Appliances'!K64</f>
        <v>0</v>
      </c>
      <c r="D12">
        <f>'Cambs Appliances'!K74</f>
        <v>0</v>
      </c>
      <c r="E12">
        <f>'Cambs Appliances'!K84</f>
        <v>0</v>
      </c>
      <c r="F12">
        <f>'Cambs Appliances'!K94</f>
        <v>0</v>
      </c>
      <c r="G12">
        <f>'Cambs Appliances'!K104</f>
        <v>0</v>
      </c>
      <c r="H12">
        <f>'Cambs Appliances'!R11</f>
        <v>0</v>
      </c>
      <c r="I12">
        <f>'Cambs Appliances'!R21</f>
        <v>0</v>
      </c>
      <c r="J12">
        <f>'Cambs Appliances'!R31</f>
        <v>0</v>
      </c>
      <c r="K12">
        <f>'Cambs Appliances'!R41</f>
        <v>0</v>
      </c>
      <c r="L12">
        <f>'Cambs Appliances'!R64</f>
        <v>0</v>
      </c>
      <c r="M12">
        <f>'Cambs Appliances'!R74</f>
        <v>0</v>
      </c>
    </row>
    <row r="13" spans="1:13" x14ac:dyDescent="0.3">
      <c r="A13">
        <f>'Cambs Appliances'!D95</f>
        <v>0</v>
      </c>
      <c r="B13">
        <f>'Cambs Appliances'!D105</f>
        <v>0</v>
      </c>
      <c r="C13">
        <f>'Cambs Appliances'!K65</f>
        <v>0</v>
      </c>
      <c r="D13">
        <f>'Cambs Appliances'!K75</f>
        <v>0</v>
      </c>
      <c r="E13">
        <f>'Cambs Appliances'!K85</f>
        <v>0</v>
      </c>
      <c r="F13">
        <f>'Cambs Appliances'!K95</f>
        <v>0</v>
      </c>
      <c r="G13">
        <f>'Cambs Appliances'!K105</f>
        <v>0</v>
      </c>
      <c r="H13">
        <f>'Cambs Appliances'!R12</f>
        <v>0</v>
      </c>
      <c r="I13">
        <f>'Cambs Appliances'!R22</f>
        <v>0</v>
      </c>
      <c r="J13">
        <f>'Cambs Appliances'!R32</f>
        <v>0</v>
      </c>
      <c r="K13">
        <f>'Cambs Appliances'!R42</f>
        <v>0</v>
      </c>
      <c r="L13">
        <f>'Cambs Appliances'!R65</f>
        <v>0</v>
      </c>
      <c r="M13">
        <f>'Cambs Appliances'!R75</f>
        <v>0</v>
      </c>
    </row>
    <row r="14" spans="1:13" x14ac:dyDescent="0.3">
      <c r="A14">
        <f>'Cambs Appliances'!D96</f>
        <v>0</v>
      </c>
      <c r="B14">
        <f>'Cambs Appliances'!D106</f>
        <v>0</v>
      </c>
      <c r="C14">
        <f>'Cambs Appliances'!K66</f>
        <v>0</v>
      </c>
      <c r="D14">
        <f>'Cambs Appliances'!K76</f>
        <v>0</v>
      </c>
      <c r="E14">
        <f>'Cambs Appliances'!K86</f>
        <v>0</v>
      </c>
      <c r="F14">
        <f>'Cambs Appliances'!K96</f>
        <v>0</v>
      </c>
      <c r="G14">
        <f>'Cambs Appliances'!K106</f>
        <v>0</v>
      </c>
      <c r="H14">
        <f>'Cambs Appliances'!R13</f>
        <v>0</v>
      </c>
      <c r="I14">
        <f>'Cambs Appliances'!R23</f>
        <v>0</v>
      </c>
      <c r="J14">
        <f>'Cambs Appliances'!R33</f>
        <v>0</v>
      </c>
      <c r="K14">
        <f>'Cambs Appliances'!R43</f>
        <v>0</v>
      </c>
      <c r="L14">
        <f>'Cambs Appliances'!R66</f>
        <v>0</v>
      </c>
      <c r="M14">
        <f>'Cambs Appliances'!R76</f>
        <v>0</v>
      </c>
    </row>
    <row r="15" spans="1:13" x14ac:dyDescent="0.3">
      <c r="A15">
        <f>'Cambs Appliances'!D97</f>
        <v>0</v>
      </c>
      <c r="B15">
        <f>'Cambs Appliances'!D107</f>
        <v>0</v>
      </c>
      <c r="C15">
        <f>'Cambs Appliances'!K67</f>
        <v>0</v>
      </c>
      <c r="D15">
        <f>'Cambs Appliances'!K77</f>
        <v>0</v>
      </c>
      <c r="E15">
        <f>'Cambs Appliances'!K87</f>
        <v>0</v>
      </c>
      <c r="F15">
        <f>'Cambs Appliances'!K97</f>
        <v>0</v>
      </c>
      <c r="G15">
        <f>'Cambs Appliances'!K107</f>
        <v>0</v>
      </c>
      <c r="H15">
        <f>'Cambs Appliances'!R14</f>
        <v>0</v>
      </c>
      <c r="I15">
        <f>'Cambs Appliances'!R24</f>
        <v>0</v>
      </c>
      <c r="J15">
        <f>'Cambs Appliances'!R34</f>
        <v>0</v>
      </c>
      <c r="K15">
        <f>'Cambs Appliances'!R44</f>
        <v>0</v>
      </c>
      <c r="L15">
        <f>'Cambs Appliances'!R67</f>
        <v>0</v>
      </c>
      <c r="M15">
        <f>'Cambs Appliances'!R77</f>
        <v>0</v>
      </c>
    </row>
    <row r="19" spans="1:6" s="231" customFormat="1" ht="15.6" x14ac:dyDescent="0.3">
      <c r="A19" s="231" t="s">
        <v>1185</v>
      </c>
      <c r="B19" s="231" t="s">
        <v>1186</v>
      </c>
      <c r="C19" s="231" t="s">
        <v>1187</v>
      </c>
      <c r="D19" s="231" t="s">
        <v>1188</v>
      </c>
    </row>
    <row r="20" spans="1:6" x14ac:dyDescent="0.3">
      <c r="A20">
        <f>'Cambs Appliances'!R82</f>
        <v>0</v>
      </c>
      <c r="B20">
        <f>'Cambs Appliances'!R92</f>
        <v>0</v>
      </c>
      <c r="C20">
        <f>'Cambs Appliances'!R49</f>
        <v>0</v>
      </c>
      <c r="D20">
        <f>'Cambs Appliances'!R102</f>
        <v>0</v>
      </c>
    </row>
    <row r="21" spans="1:6" x14ac:dyDescent="0.3">
      <c r="A21">
        <f>'Cambs Appliances'!R83</f>
        <v>0</v>
      </c>
      <c r="B21">
        <f>'Cambs Appliances'!R93</f>
        <v>0</v>
      </c>
      <c r="C21">
        <f>'Cambs Appliances'!R50</f>
        <v>0</v>
      </c>
      <c r="D21">
        <f>'Cambs Appliances'!R103</f>
        <v>0</v>
      </c>
    </row>
    <row r="22" spans="1:6" x14ac:dyDescent="0.3">
      <c r="A22">
        <f>'Cambs Appliances'!R84</f>
        <v>0</v>
      </c>
      <c r="B22">
        <f>'Cambs Appliances'!R94</f>
        <v>0</v>
      </c>
      <c r="C22">
        <f>'Cambs Appliances'!R51</f>
        <v>0</v>
      </c>
      <c r="D22">
        <f>'Cambs Appliances'!R104</f>
        <v>0</v>
      </c>
    </row>
    <row r="23" spans="1:6" x14ac:dyDescent="0.3">
      <c r="A23">
        <f>'Cambs Appliances'!R85</f>
        <v>0</v>
      </c>
      <c r="B23">
        <f>'Cambs Appliances'!R95</f>
        <v>0</v>
      </c>
      <c r="C23">
        <f>'Cambs Appliances'!R52</f>
        <v>0</v>
      </c>
      <c r="D23">
        <f>'Cambs Appliances'!R105</f>
        <v>0</v>
      </c>
    </row>
    <row r="24" spans="1:6" x14ac:dyDescent="0.3">
      <c r="A24">
        <f>'Cambs Appliances'!R86</f>
        <v>0</v>
      </c>
      <c r="B24">
        <f>'Cambs Appliances'!R96</f>
        <v>0</v>
      </c>
      <c r="C24">
        <f>'Cambs Appliances'!R53</f>
        <v>0</v>
      </c>
      <c r="D24">
        <f>'Cambs Appliances'!R106</f>
        <v>0</v>
      </c>
    </row>
    <row r="25" spans="1:6" x14ac:dyDescent="0.3">
      <c r="A25">
        <f>'Cambs Appliances'!R87</f>
        <v>0</v>
      </c>
      <c r="B25">
        <f>'Cambs Appliances'!R97</f>
        <v>0</v>
      </c>
      <c r="C25">
        <f>'Cambs Appliances'!R54</f>
        <v>0</v>
      </c>
      <c r="D25">
        <f>'Cambs Appliances'!R107</f>
        <v>0</v>
      </c>
    </row>
    <row r="26" spans="1:6" s="232" customFormat="1" x14ac:dyDescent="0.3"/>
    <row r="27" spans="1:6" x14ac:dyDescent="0.3">
      <c r="A27" s="207" t="s">
        <v>455</v>
      </c>
      <c r="B27" s="207" t="s">
        <v>456</v>
      </c>
      <c r="C27" s="207" t="s">
        <v>457</v>
      </c>
      <c r="D27" s="207" t="s">
        <v>12</v>
      </c>
      <c r="E27" s="207" t="s">
        <v>11</v>
      </c>
      <c r="F27" s="207" t="s">
        <v>10</v>
      </c>
    </row>
    <row r="28" spans="1:6" x14ac:dyDescent="0.3">
      <c r="A28" s="3" t="str">
        <f>IFERROR(INDEX('DATA DUMP'!$A$2:$AD$723, MATCH($A$2,'DATA DUMP'!$A2:$A723, 0), COLUMN()),"")</f>
        <v/>
      </c>
      <c r="B28" s="3" t="str">
        <f>IFERROR(INDEX('DATA DUMP'!$A$2:$AD$723, MATCH($A$2,'DATA DUMP'!$A2:$A723, 0), COLUMN()),"")</f>
        <v/>
      </c>
      <c r="C28" s="3" t="str">
        <f>IFERROR(INDEX('DATA DUMP'!$A$2:$AD$723, MATCH($A$2,'DATA DUMP'!$A2:$A723, 0), COLUMN()),"")</f>
        <v/>
      </c>
      <c r="D28" s="3" t="str">
        <f>IFERROR(INDEX('DATA DUMP'!$A$2:$AD$723, MATCH($A$2,'DATA DUMP'!$A2:$A723, 0), COLUMN()),"")</f>
        <v/>
      </c>
      <c r="E28" s="3" t="str">
        <f>IFERROR(INDEX('DATA DUMP'!$A$2:$AD$723, MATCH($A$2,'DATA DUMP'!$A2:$A723, 0), COLUMN()),"")</f>
        <v/>
      </c>
      <c r="F28" s="3" t="str">
        <f>IFERROR(INDEX('DATA DUMP'!$A$2:$AD$723, MATCH($A$2,'DATA DUMP'!$A2:$A723, 0), COLUMN()),"")</f>
        <v/>
      </c>
    </row>
    <row r="29" spans="1:6" x14ac:dyDescent="0.3">
      <c r="A29" s="3" t="str">
        <f>IFERROR(INDEX('DATA DUMP'!$A$2:$AD$723, MATCH($A$3,'DATA DUMP'!$A2:$A723, 0), COLUMN()),"")</f>
        <v/>
      </c>
      <c r="B29" s="3" t="str">
        <f>IFERROR(INDEX('DATA DUMP'!$A$2:$AD$723, MATCH($A$3,'DATA DUMP'!$A2:$A723, 0), COLUMN()),"")</f>
        <v/>
      </c>
      <c r="C29" s="3" t="str">
        <f>IFERROR(INDEX('DATA DUMP'!$A$2:$AD$723, MATCH($A$3,'DATA DUMP'!$A2:$A723, 0), COLUMN()),"")</f>
        <v/>
      </c>
      <c r="D29" s="3" t="str">
        <f>IFERROR(INDEX('DATA DUMP'!$A$2:$AD$723, MATCH($A$3,'DATA DUMP'!$A2:$A723, 0), COLUMN()),"")</f>
        <v/>
      </c>
      <c r="E29" s="3" t="str">
        <f>IFERROR(INDEX('DATA DUMP'!$A$2:$AD$723, MATCH($A$3,'DATA DUMP'!$A2:$A723, 0), COLUMN()),"")</f>
        <v/>
      </c>
      <c r="F29" s="3" t="str">
        <f>IFERROR(INDEX('DATA DUMP'!$A$2:$AD$723, MATCH($A$3,'DATA DUMP'!$A2:$A723, 0), COLUMN()),"")</f>
        <v/>
      </c>
    </row>
    <row r="30" spans="1:6" x14ac:dyDescent="0.3">
      <c r="A30" s="3" t="str">
        <f>IFERROR(INDEX('DATA DUMP'!$A$2:$AD$723, MATCH($A$4,'DATA DUMP'!$A2:$A723, 0), COLUMN()),"")</f>
        <v/>
      </c>
      <c r="B30" s="3" t="str">
        <f>IFERROR(INDEX('DATA DUMP'!$A$2:$AD$723, MATCH($A$4,'DATA DUMP'!$A2:$A723, 0), COLUMN()),"")</f>
        <v/>
      </c>
      <c r="C30" s="3" t="str">
        <f>IFERROR(INDEX('DATA DUMP'!$A$2:$AD$723, MATCH($A$4,'DATA DUMP'!$A2:$A723, 0), COLUMN()),"")</f>
        <v/>
      </c>
      <c r="D30" s="3" t="str">
        <f>IFERROR(INDEX('DATA DUMP'!$A$2:$AD$723, MATCH($A$4,'DATA DUMP'!$A2:$A723, 0), COLUMN()),"")</f>
        <v/>
      </c>
      <c r="E30" s="3" t="str">
        <f>IFERROR(INDEX('DATA DUMP'!$A$2:$AD$723, MATCH($A$4,'DATA DUMP'!$A2:$A723, 0), COLUMN()),"")</f>
        <v/>
      </c>
      <c r="F30" s="3" t="str">
        <f>IFERROR(INDEX('DATA DUMP'!$A$2:$AD$723, MATCH($A$4,'DATA DUMP'!$A2:$A723, 0), COLUMN()),"")</f>
        <v/>
      </c>
    </row>
    <row r="31" spans="1:6" x14ac:dyDescent="0.3">
      <c r="A31" s="3" t="str">
        <f>IFERROR(INDEX('DATA DUMP'!$A$2:$AD$723, MATCH($A$5,'DATA DUMP'!$A2:$A723, 0), COLUMN()),"")</f>
        <v/>
      </c>
      <c r="B31" s="3" t="str">
        <f>IFERROR(INDEX('DATA DUMP'!$A$2:$AD$723, MATCH($A$5,'DATA DUMP'!$A2:$A723, 0), COLUMN()),"")</f>
        <v/>
      </c>
      <c r="C31" s="3" t="str">
        <f>IFERROR(INDEX('DATA DUMP'!$A$2:$AD$723, MATCH($A$5,'DATA DUMP'!$A2:$A723, 0), COLUMN()),"")</f>
        <v/>
      </c>
      <c r="D31" s="3" t="str">
        <f>IFERROR(INDEX('DATA DUMP'!$A$2:$AD$723, MATCH($A$5,'DATA DUMP'!$A2:$A723, 0), COLUMN()),"")</f>
        <v/>
      </c>
      <c r="E31" s="3" t="str">
        <f>IFERROR(INDEX('DATA DUMP'!$A$2:$AD$723, MATCH($A$5,'DATA DUMP'!$A2:$A723, 0), COLUMN()),"")</f>
        <v/>
      </c>
      <c r="F31" s="3" t="str">
        <f>IFERROR(INDEX('DATA DUMP'!$A$2:$AD$723, MATCH($A$5,'DATA DUMP'!$A2:$A723, 0), COLUMN()),"")</f>
        <v/>
      </c>
    </row>
    <row r="32" spans="1:6" x14ac:dyDescent="0.3">
      <c r="A32" s="3" t="str">
        <f>IFERROR(INDEX('DATA DUMP'!$A$2:$AD$723, MATCH($A$6,'DATA DUMP'!$A2:$A723, 0), COLUMN()),"")</f>
        <v/>
      </c>
      <c r="B32" s="3" t="str">
        <f>IFERROR(INDEX('DATA DUMP'!$A$2:$AD$723, MATCH($A$6,'DATA DUMP'!$A2:$A723, 0), COLUMN()),"")</f>
        <v/>
      </c>
      <c r="C32" s="3" t="str">
        <f>IFERROR(INDEX('DATA DUMP'!$A$2:$AD$723, MATCH($A$6,'DATA DUMP'!$A2:$A723, 0), COLUMN()),"")</f>
        <v/>
      </c>
      <c r="D32" s="3" t="str">
        <f>IFERROR(INDEX('DATA DUMP'!$A$2:$AD$723, MATCH($A$6,'DATA DUMP'!$A2:$A723, 0), COLUMN()),"")</f>
        <v/>
      </c>
      <c r="E32" s="3" t="str">
        <f>IFERROR(INDEX('DATA DUMP'!$A$2:$AD$723, MATCH($A$6,'DATA DUMP'!$A2:$A723, 0), COLUMN()),"")</f>
        <v/>
      </c>
      <c r="F32" s="3" t="str">
        <f>IFERROR(INDEX('DATA DUMP'!$A$2:$AD$723, MATCH($A$6,'DATA DUMP'!$A2:$A723, 0), COLUMN()),"")</f>
        <v/>
      </c>
    </row>
    <row r="33" spans="1:6" x14ac:dyDescent="0.3">
      <c r="A33" s="3" t="str">
        <f>IFERROR(INDEX('DATA DUMP'!$A$2:$AD$723, MATCH($A$7,'DATA DUMP'!$A2:$A723, 0), COLUMN()),"")</f>
        <v/>
      </c>
      <c r="B33" s="3" t="str">
        <f>IFERROR(INDEX('DATA DUMP'!$A$2:$AD$723, MATCH($A$7,'DATA DUMP'!$A2:$A723, 0), COLUMN()),"")</f>
        <v/>
      </c>
      <c r="C33" s="3" t="str">
        <f>IFERROR(INDEX('DATA DUMP'!$A$2:$AD$723, MATCH($A$7,'DATA DUMP'!$A2:$A723, 0), COLUMN()),"")</f>
        <v/>
      </c>
      <c r="D33" s="3" t="str">
        <f>IFERROR(INDEX('DATA DUMP'!$A$2:$AD$723, MATCH($A$7,'DATA DUMP'!$A2:$A723, 0), COLUMN()),"")</f>
        <v/>
      </c>
      <c r="E33" s="3" t="str">
        <f>IFERROR(INDEX('DATA DUMP'!$A$2:$AD$723, MATCH($A$7,'DATA DUMP'!$A2:$A723, 0), COLUMN()),"")</f>
        <v/>
      </c>
      <c r="F33" s="3" t="str">
        <f>IFERROR(INDEX('DATA DUMP'!$A$2:$AD$723, MATCH($A$7,'DATA DUMP'!$A2:$A723, 0), COLUMN()),"")</f>
        <v/>
      </c>
    </row>
    <row r="34" spans="1:6" x14ac:dyDescent="0.3">
      <c r="A34" s="3" t="str">
        <f>IFERROR(INDEX('DATA DUMP'!$A$2:$AD$723, MATCH($B$2,'DATA DUMP'!$A2:$A723, 0), COLUMN()),"")</f>
        <v/>
      </c>
      <c r="B34" s="3" t="str">
        <f>IFERROR(INDEX('DATA DUMP'!$A$2:$AD$723, MATCH($B$2,'DATA DUMP'!$A2:$A723, 0), COLUMN()),"")</f>
        <v/>
      </c>
      <c r="C34" s="3" t="str">
        <f>IFERROR(INDEX('DATA DUMP'!$A$2:$AD$723, MATCH($B$2,'DATA DUMP'!$A2:$A723, 0), COLUMN()),"")</f>
        <v/>
      </c>
      <c r="D34" s="3" t="str">
        <f>IFERROR(INDEX('DATA DUMP'!$A$2:$AD$723, MATCH($B$2,'DATA DUMP'!$A2:$A723, 0), COLUMN()),"")</f>
        <v/>
      </c>
      <c r="E34" s="3" t="str">
        <f>IFERROR(INDEX('DATA DUMP'!$A$2:$AD$723, MATCH($B$2,'DATA DUMP'!$A2:$A723, 0), COLUMN()),"")</f>
        <v/>
      </c>
      <c r="F34" s="3" t="str">
        <f>IFERROR(INDEX('DATA DUMP'!$A$2:$AD$723, MATCH($B$2,'DATA DUMP'!$A2:$A723, 0), COLUMN()),"")</f>
        <v/>
      </c>
    </row>
    <row r="35" spans="1:6" x14ac:dyDescent="0.3">
      <c r="A35" s="3" t="str">
        <f>IFERROR(INDEX('DATA DUMP'!$A$2:$AD$723, MATCH($B$3,'DATA DUMP'!$A2:$A723, 0), COLUMN()),"")</f>
        <v/>
      </c>
      <c r="B35" s="3" t="str">
        <f>IFERROR(INDEX('DATA DUMP'!$A$2:$AD$723, MATCH($B$3,'DATA DUMP'!$A2:$A723, 0), COLUMN()),"")</f>
        <v/>
      </c>
      <c r="C35" s="3" t="str">
        <f>IFERROR(INDEX('DATA DUMP'!$A$2:$AD$723, MATCH($B$3,'DATA DUMP'!$A2:$A723, 0), COLUMN()),"")</f>
        <v/>
      </c>
      <c r="D35" s="3" t="str">
        <f>IFERROR(INDEX('DATA DUMP'!$A$2:$AD$723, MATCH($B$3,'DATA DUMP'!$A2:$A723, 0), COLUMN()),"")</f>
        <v/>
      </c>
      <c r="E35" s="3" t="str">
        <f>IFERROR(INDEX('DATA DUMP'!$A$2:$AD$723, MATCH($B$3,'DATA DUMP'!$A2:$A723, 0), COLUMN()),"")</f>
        <v/>
      </c>
      <c r="F35" s="3" t="str">
        <f>IFERROR(INDEX('DATA DUMP'!$A$2:$AD$723, MATCH($B$3,'DATA DUMP'!$A2:$A723, 0), COLUMN()),"")</f>
        <v/>
      </c>
    </row>
    <row r="36" spans="1:6" x14ac:dyDescent="0.3">
      <c r="A36" s="3" t="str">
        <f>IFERROR(INDEX('DATA DUMP'!$A$2:$AD$723, MATCH($B$4,'DATA DUMP'!$A2:$A723, 0), COLUMN()),"")</f>
        <v/>
      </c>
      <c r="B36" s="3" t="str">
        <f>IFERROR(INDEX('DATA DUMP'!$A$2:$AD$723, MATCH($B$4,'DATA DUMP'!$A2:$A723, 0), COLUMN()),"")</f>
        <v/>
      </c>
      <c r="C36" s="3" t="str">
        <f>IFERROR(INDEX('DATA DUMP'!$A$2:$AD$723, MATCH($B$4,'DATA DUMP'!$A2:$A723, 0), COLUMN()),"")</f>
        <v/>
      </c>
      <c r="D36" s="3" t="str">
        <f>IFERROR(INDEX('DATA DUMP'!$A$2:$AD$723, MATCH($B$4,'DATA DUMP'!$A2:$A723, 0), COLUMN()),"")</f>
        <v/>
      </c>
      <c r="E36" s="3" t="str">
        <f>IFERROR(INDEX('DATA DUMP'!$A$2:$AD$723, MATCH($B$4,'DATA DUMP'!$A2:$A723, 0), COLUMN()),"")</f>
        <v/>
      </c>
      <c r="F36" s="3" t="str">
        <f>IFERROR(INDEX('DATA DUMP'!$A$2:$AD$723, MATCH($B$4,'DATA DUMP'!$A2:$A723, 0), COLUMN()),"")</f>
        <v/>
      </c>
    </row>
    <row r="37" spans="1:6" x14ac:dyDescent="0.3">
      <c r="A37" s="3" t="str">
        <f>IFERROR(INDEX('DATA DUMP'!$A$2:$AD$723, MATCH($B$5,'DATA DUMP'!$A2:$A723, 0), COLUMN()),"")</f>
        <v/>
      </c>
      <c r="B37" s="3" t="str">
        <f>IFERROR(INDEX('DATA DUMP'!$A$2:$AD$723, MATCH($B$5,'DATA DUMP'!$A2:$A723, 0), COLUMN()),"")</f>
        <v/>
      </c>
      <c r="C37" s="3" t="str">
        <f>IFERROR(INDEX('DATA DUMP'!$A$2:$AD$723, MATCH($B$5,'DATA DUMP'!$A2:$A723, 0), COLUMN()),"")</f>
        <v/>
      </c>
      <c r="D37" s="3" t="str">
        <f>IFERROR(INDEX('DATA DUMP'!$A$2:$AD$723, MATCH($B$5,'DATA DUMP'!$A2:$A723, 0), COLUMN()),"")</f>
        <v/>
      </c>
      <c r="E37" s="3" t="str">
        <f>IFERROR(INDEX('DATA DUMP'!$A$2:$AD$723, MATCH($B$5,'DATA DUMP'!$A2:$A723, 0), COLUMN()),"")</f>
        <v/>
      </c>
      <c r="F37" s="3" t="str">
        <f>IFERROR(INDEX('DATA DUMP'!$A$2:$AD$723, MATCH($B$5,'DATA DUMP'!$A2:$A723, 0), COLUMN()),"")</f>
        <v/>
      </c>
    </row>
    <row r="38" spans="1:6" x14ac:dyDescent="0.3">
      <c r="A38" s="3" t="str">
        <f>IFERROR(INDEX('DATA DUMP'!$A$2:$AD$723, MATCH($B$6,'DATA DUMP'!$A2:$A723, 0), COLUMN()),"")</f>
        <v/>
      </c>
      <c r="B38" s="3" t="str">
        <f>IFERROR(INDEX('DATA DUMP'!$A$2:$AD$723, MATCH($B$6,'DATA DUMP'!$A2:$A723, 0), COLUMN()),"")</f>
        <v/>
      </c>
      <c r="C38" s="3" t="str">
        <f>IFERROR(INDEX('DATA DUMP'!$A$2:$AD$723, MATCH($B$6,'DATA DUMP'!$A2:$A723, 0), COLUMN()),"")</f>
        <v/>
      </c>
      <c r="D38" s="3" t="str">
        <f>IFERROR(INDEX('DATA DUMP'!$A$2:$AD$723, MATCH($B$6,'DATA DUMP'!$A2:$A723, 0), COLUMN()),"")</f>
        <v/>
      </c>
      <c r="E38" s="3" t="str">
        <f>IFERROR(INDEX('DATA DUMP'!$A$2:$AD$723, MATCH($B$6,'DATA DUMP'!$A2:$A723, 0), COLUMN()),"")</f>
        <v/>
      </c>
      <c r="F38" s="3" t="str">
        <f>IFERROR(INDEX('DATA DUMP'!$A$2:$AD$723, MATCH($B$6,'DATA DUMP'!$A2:$A723, 0), COLUMN()),"")</f>
        <v/>
      </c>
    </row>
    <row r="39" spans="1:6" x14ac:dyDescent="0.3">
      <c r="A39" s="3" t="str">
        <f>IFERROR(INDEX('DATA DUMP'!$A$2:$AD$723, MATCH($B$7,'DATA DUMP'!$A2:$A723, 0), COLUMN()),"")</f>
        <v/>
      </c>
      <c r="B39" s="3" t="str">
        <f>IFERROR(INDEX('DATA DUMP'!$A$2:$AD$723, MATCH($B$7,'DATA DUMP'!$A2:$A723, 0), COLUMN()),"")</f>
        <v/>
      </c>
      <c r="C39" s="3" t="str">
        <f>IFERROR(INDEX('DATA DUMP'!$A$2:$AD$723, MATCH($B$7,'DATA DUMP'!$A2:$A723, 0), COLUMN()),"")</f>
        <v/>
      </c>
      <c r="D39" s="3" t="str">
        <f>IFERROR(INDEX('DATA DUMP'!$A$2:$AD$723, MATCH($B$7,'DATA DUMP'!$A2:$A723, 0), COLUMN()),"")</f>
        <v/>
      </c>
      <c r="E39" s="3" t="str">
        <f>IFERROR(INDEX('DATA DUMP'!$A$2:$AD$723, MATCH($B$7,'DATA DUMP'!$A2:$A723, 0), COLUMN()),"")</f>
        <v/>
      </c>
      <c r="F39" s="3" t="str">
        <f>IFERROR(INDEX('DATA DUMP'!$A$2:$AD$723, MATCH($B$7,'DATA DUMP'!$A2:$A723, 0), COLUMN()),"")</f>
        <v/>
      </c>
    </row>
    <row r="40" spans="1:6" x14ac:dyDescent="0.3">
      <c r="A40" s="3" t="str">
        <f>IFERROR(INDEX('DATA DUMP'!$A$2:$AD$723, MATCH($C$2,'DATA DUMP'!$A2:$A723, 0), COLUMN()),"")</f>
        <v/>
      </c>
      <c r="B40" s="3" t="str">
        <f>IFERROR(INDEX('DATA DUMP'!$A$2:$AD$723, MATCH($C$7,'DATA DUMP'!$A2:$A723, 0), COLUMN()),"")</f>
        <v/>
      </c>
      <c r="C40" s="3" t="str">
        <f>IFERROR(INDEX('DATA DUMP'!$A$2:$AD$723, MATCH($C$7,'DATA DUMP'!$A2:$A723, 0), COLUMN()),"")</f>
        <v/>
      </c>
      <c r="D40" s="3" t="str">
        <f>IFERROR(INDEX('DATA DUMP'!$A$2:$AD$723, MATCH($C$7,'DATA DUMP'!$A2:$A723, 0), COLUMN()),"")</f>
        <v/>
      </c>
      <c r="E40" s="3" t="str">
        <f>IFERROR(INDEX('DATA DUMP'!$A$2:$AD$723, MATCH($C$7,'DATA DUMP'!$A2:$A723, 0), COLUMN()),"")</f>
        <v/>
      </c>
      <c r="F40" s="3" t="str">
        <f>IFERROR(INDEX('DATA DUMP'!$A$2:$AD$723, MATCH($C$7,'DATA DUMP'!$A2:$A723, 0), COLUMN()),"")</f>
        <v/>
      </c>
    </row>
    <row r="41" spans="1:6" x14ac:dyDescent="0.3">
      <c r="A41" s="3" t="str">
        <f>IFERROR(INDEX('DATA DUMP'!$A$2:$AD$723, MATCH($C$3,'DATA DUMP'!$A2:$A723, 0), COLUMN()),"")</f>
        <v/>
      </c>
      <c r="B41" s="3" t="str">
        <f>IFERROR(INDEX('DATA DUMP'!$A$2:$AD$723, MATCH($C$3,'DATA DUMP'!$A2:$A723, 0), COLUMN()),"")</f>
        <v/>
      </c>
      <c r="C41" s="3" t="str">
        <f>IFERROR(INDEX('DATA DUMP'!$A$2:$AD$723, MATCH($C$3,'DATA DUMP'!$A2:$A723, 0), COLUMN()),"")</f>
        <v/>
      </c>
      <c r="D41" s="3" t="str">
        <f>IFERROR(INDEX('DATA DUMP'!$A$2:$AD$723, MATCH($C$3,'DATA DUMP'!$A2:$A723, 0), COLUMN()),"")</f>
        <v/>
      </c>
      <c r="E41" s="3" t="str">
        <f>IFERROR(INDEX('DATA DUMP'!$A$2:$AD$723, MATCH($C$3,'DATA DUMP'!$A2:$A723, 0), COLUMN()),"")</f>
        <v/>
      </c>
      <c r="F41" s="3" t="str">
        <f>IFERROR(INDEX('DATA DUMP'!$A$2:$AD$723, MATCH($C$3,'DATA DUMP'!$A2:$A723, 0), COLUMN()),"")</f>
        <v/>
      </c>
    </row>
    <row r="42" spans="1:6" x14ac:dyDescent="0.3">
      <c r="A42" s="3" t="str">
        <f>IFERROR(INDEX('DATA DUMP'!$A$2:$AD$723, MATCH($C$4,'DATA DUMP'!$A2:$A723, 0), COLUMN()),"")</f>
        <v/>
      </c>
      <c r="B42" s="3" t="str">
        <f>IFERROR(INDEX('DATA DUMP'!$A$2:$AD$723, MATCH($C$4,'DATA DUMP'!$A2:$A723, 0), COLUMN()),"")</f>
        <v/>
      </c>
      <c r="C42" s="3" t="str">
        <f>IFERROR(INDEX('DATA DUMP'!$A$2:$AD$723, MATCH($C$4,'DATA DUMP'!$A2:$A723, 0), COLUMN()),"")</f>
        <v/>
      </c>
      <c r="D42" s="3" t="str">
        <f>IFERROR(INDEX('DATA DUMP'!$A$2:$AD$723, MATCH($C$4,'DATA DUMP'!$A2:$A723, 0), COLUMN()),"")</f>
        <v/>
      </c>
      <c r="E42" s="3" t="str">
        <f>IFERROR(INDEX('DATA DUMP'!$A$2:$AD$723, MATCH($C$4,'DATA DUMP'!$A2:$A723, 0), COLUMN()),"")</f>
        <v/>
      </c>
      <c r="F42" s="3" t="str">
        <f>IFERROR(INDEX('DATA DUMP'!$A$2:$AD$723, MATCH($C$4,'DATA DUMP'!$A2:$A723, 0), COLUMN()),"")</f>
        <v/>
      </c>
    </row>
    <row r="43" spans="1:6" x14ac:dyDescent="0.3">
      <c r="A43" s="3" t="str">
        <f>IFERROR(INDEX('DATA DUMP'!$A$2:$AD$723, MATCH($C$5,'DATA DUMP'!$A2:$A723, 0), COLUMN()),"")</f>
        <v/>
      </c>
      <c r="B43" s="3" t="str">
        <f>IFERROR(INDEX('DATA DUMP'!$A$2:$AD$723, MATCH($C$5,'DATA DUMP'!$A2:$A723, 0), COLUMN()),"")</f>
        <v/>
      </c>
      <c r="C43" s="3" t="str">
        <f>IFERROR(INDEX('DATA DUMP'!$A$2:$AD$723, MATCH($C$5,'DATA DUMP'!$A2:$A723, 0), COLUMN()),"")</f>
        <v/>
      </c>
      <c r="D43" s="3" t="str">
        <f>IFERROR(INDEX('DATA DUMP'!$A$2:$AD$723, MATCH($C$5,'DATA DUMP'!$A2:$A723, 0), COLUMN()),"")</f>
        <v/>
      </c>
      <c r="E43" s="3" t="str">
        <f>IFERROR(INDEX('DATA DUMP'!$A$2:$AD$723, MATCH($C$5,'DATA DUMP'!$A2:$A723, 0), COLUMN()),"")</f>
        <v/>
      </c>
      <c r="F43" s="3" t="str">
        <f>IFERROR(INDEX('DATA DUMP'!$A$2:$AD$723, MATCH($C$5,'DATA DUMP'!$A2:$A723, 0), COLUMN()),"")</f>
        <v/>
      </c>
    </row>
    <row r="44" spans="1:6" x14ac:dyDescent="0.3">
      <c r="A44" s="3" t="str">
        <f>IFERROR(INDEX('DATA DUMP'!$A$2:$AD$723, MATCH($C$6,'DATA DUMP'!$A2:$A723, 0), COLUMN()),"")</f>
        <v/>
      </c>
      <c r="B44" s="3" t="str">
        <f>IFERROR(INDEX('DATA DUMP'!$A$2:$AD$723, MATCH($C$6,'DATA DUMP'!$A2:$A723, 0), COLUMN()),"")</f>
        <v/>
      </c>
      <c r="C44" s="3" t="str">
        <f>IFERROR(INDEX('DATA DUMP'!$A$2:$AD$723, MATCH($C$6,'DATA DUMP'!$A2:$A723, 0), COLUMN()),"")</f>
        <v/>
      </c>
      <c r="D44" s="3" t="str">
        <f>IFERROR(INDEX('DATA DUMP'!$A$2:$AD$723, MATCH($C$6,'DATA DUMP'!$A2:$A723, 0), COLUMN()),"")</f>
        <v/>
      </c>
      <c r="E44" s="3" t="str">
        <f>IFERROR(INDEX('DATA DUMP'!$A$2:$AD$723, MATCH($C$6,'DATA DUMP'!$A2:$A723, 0), COLUMN()),"")</f>
        <v/>
      </c>
      <c r="F44" s="3" t="str">
        <f>IFERROR(INDEX('DATA DUMP'!$A$2:$AD$723, MATCH($C$6,'DATA DUMP'!$A2:$A723, 0), COLUMN()),"")</f>
        <v/>
      </c>
    </row>
    <row r="45" spans="1:6" x14ac:dyDescent="0.3">
      <c r="A45" s="3" t="str">
        <f>IFERROR(INDEX('DATA DUMP'!$A$2:$AD$723, MATCH($C$7,'DATA DUMP'!$A2:$A723, 0), COLUMN()),"")</f>
        <v/>
      </c>
      <c r="B45" s="3" t="str">
        <f>IFERROR(INDEX('DATA DUMP'!$A$2:$AD$723, MATCH($C$7,'DATA DUMP'!$A2:$A723, 0), COLUMN()),"")</f>
        <v/>
      </c>
      <c r="C45" s="3" t="str">
        <f>IFERROR(INDEX('DATA DUMP'!$A$2:$AD$723, MATCH($C$7,'DATA DUMP'!$A2:$A723, 0), COLUMN()),"")</f>
        <v/>
      </c>
      <c r="D45" s="3" t="str">
        <f>IFERROR(INDEX('DATA DUMP'!$A$2:$AD$723, MATCH($C$7,'DATA DUMP'!$A2:$A723, 0), COLUMN()),"")</f>
        <v/>
      </c>
      <c r="E45" s="3" t="str">
        <f>IFERROR(INDEX('DATA DUMP'!$A$2:$AD$723, MATCH($C$7,'DATA DUMP'!$A2:$A723, 0), COLUMN()),"")</f>
        <v/>
      </c>
      <c r="F45" s="3" t="str">
        <f>IFERROR(INDEX('DATA DUMP'!$A$2:$AD$723, MATCH($C$7,'DATA DUMP'!$A2:$A723, 0), COLUMN()),"")</f>
        <v/>
      </c>
    </row>
    <row r="46" spans="1:6" x14ac:dyDescent="0.3">
      <c r="A46" s="3" t="str">
        <f>IFERROR(INDEX('DATA DUMP'!$A$2:$AD$723, MATCH($D$2,'DATA DUMP'!$A2:$A723, 0), COLUMN()),"")</f>
        <v/>
      </c>
      <c r="B46" s="3" t="str">
        <f>IFERROR(INDEX('DATA DUMP'!$A$2:$AD$723, MATCH($D$2,'DATA DUMP'!$A2:$A723, 0), COLUMN()),"")</f>
        <v/>
      </c>
      <c r="C46" s="3" t="str">
        <f>IFERROR(INDEX('DATA DUMP'!$A$2:$AD$723, MATCH($D$2,'DATA DUMP'!$A2:$A723, 0), COLUMN()),"")</f>
        <v/>
      </c>
      <c r="D46" s="3" t="str">
        <f>IFERROR(INDEX('DATA DUMP'!$A$2:$AD$723, MATCH($D$2,'DATA DUMP'!$A2:$A723, 0), COLUMN()),"")</f>
        <v/>
      </c>
      <c r="E46" s="3" t="str">
        <f>IFERROR(INDEX('DATA DUMP'!$A$2:$AD$723, MATCH($D$2,'DATA DUMP'!$A2:$A723, 0), COLUMN()),"")</f>
        <v/>
      </c>
      <c r="F46" s="3" t="str">
        <f>IFERROR(INDEX('DATA DUMP'!$A$2:$AD$723, MATCH($D$2,'DATA DUMP'!$A2:$A723, 0), COLUMN()),"")</f>
        <v/>
      </c>
    </row>
    <row r="47" spans="1:6" x14ac:dyDescent="0.3">
      <c r="A47" s="3" t="str">
        <f>IFERROR(INDEX('DATA DUMP'!$A$2:$AD$723, MATCH($D$3,'DATA DUMP'!$A2:$A723, 0), COLUMN()),"")</f>
        <v/>
      </c>
      <c r="B47" s="3" t="str">
        <f>IFERROR(INDEX('DATA DUMP'!$A$2:$AD$723, MATCH($D$3,'DATA DUMP'!$A2:$A723, 0), COLUMN()),"")</f>
        <v/>
      </c>
      <c r="C47" s="3" t="str">
        <f>IFERROR(INDEX('DATA DUMP'!$A$2:$AD$723, MATCH($D$3,'DATA DUMP'!$A2:$A723, 0), COLUMN()),"")</f>
        <v/>
      </c>
      <c r="D47" s="3" t="str">
        <f>IFERROR(INDEX('DATA DUMP'!$A$2:$AD$723, MATCH($D$3,'DATA DUMP'!$A2:$A723, 0), COLUMN()),"")</f>
        <v/>
      </c>
      <c r="E47" s="3" t="str">
        <f>IFERROR(INDEX('DATA DUMP'!$A$2:$AD$723, MATCH($D$3,'DATA DUMP'!$A2:$A723, 0), COLUMN()),"")</f>
        <v/>
      </c>
      <c r="F47" s="3" t="str">
        <f>IFERROR(INDEX('DATA DUMP'!$A$2:$AD$723, MATCH($D$3,'DATA DUMP'!$A2:$A723, 0), COLUMN()),"")</f>
        <v/>
      </c>
    </row>
    <row r="48" spans="1:6" x14ac:dyDescent="0.3">
      <c r="A48" s="3" t="str">
        <f>IFERROR(INDEX('DATA DUMP'!$A$2:$AD$723, MATCH($D$4,'DATA DUMP'!$A2:$A723, 0), COLUMN()),"")</f>
        <v/>
      </c>
      <c r="B48" s="3" t="str">
        <f>IFERROR(INDEX('DATA DUMP'!$A$2:$AD$723, MATCH($D$4,'DATA DUMP'!$A2:$A723, 0), COLUMN()),"")</f>
        <v/>
      </c>
      <c r="C48" s="3" t="str">
        <f>IFERROR(INDEX('DATA DUMP'!$A$2:$AD$723, MATCH($D$4,'DATA DUMP'!$A2:$A723, 0), COLUMN()),"")</f>
        <v/>
      </c>
      <c r="D48" s="3" t="str">
        <f>IFERROR(INDEX('DATA DUMP'!$A$2:$AD$723, MATCH($D$4,'DATA DUMP'!$A2:$A723, 0), COLUMN()),"")</f>
        <v/>
      </c>
      <c r="E48" s="3" t="str">
        <f>IFERROR(INDEX('DATA DUMP'!$A$2:$AD$723, MATCH($D$4,'DATA DUMP'!$A2:$A723, 0), COLUMN()),"")</f>
        <v/>
      </c>
      <c r="F48" s="3" t="str">
        <f>IFERROR(INDEX('DATA DUMP'!$A$2:$AD$723, MATCH($D$4,'DATA DUMP'!$A2:$A723, 0), COLUMN()),"")</f>
        <v/>
      </c>
    </row>
    <row r="49" spans="1:6" x14ac:dyDescent="0.3">
      <c r="A49" s="3" t="str">
        <f>IFERROR(INDEX('DATA DUMP'!$A$2:$AD$723, MATCH($D$5,'DATA DUMP'!$A2:$A723, 0), COLUMN()),"")</f>
        <v/>
      </c>
      <c r="B49" s="3" t="str">
        <f>IFERROR(INDEX('DATA DUMP'!$A$2:$AD$723, MATCH($D$5,'DATA DUMP'!$A2:$A723, 0), COLUMN()),"")</f>
        <v/>
      </c>
      <c r="C49" s="3" t="str">
        <f>IFERROR(INDEX('DATA DUMP'!$A$2:$AD$723, MATCH($D$5,'DATA DUMP'!$A2:$A723, 0), COLUMN()),"")</f>
        <v/>
      </c>
      <c r="D49" s="3" t="str">
        <f>IFERROR(INDEX('DATA DUMP'!$A$2:$AD$723, MATCH($D$5,'DATA DUMP'!$A2:$A723, 0), COLUMN()),"")</f>
        <v/>
      </c>
      <c r="E49" s="3" t="str">
        <f>IFERROR(INDEX('DATA DUMP'!$A$2:$AD$723, MATCH($D$5,'DATA DUMP'!$A2:$A723, 0), COLUMN()),"")</f>
        <v/>
      </c>
      <c r="F49" s="3" t="str">
        <f>IFERROR(INDEX('DATA DUMP'!$A$2:$AD$723, MATCH($D$5,'DATA DUMP'!$A2:$A723, 0), COLUMN()),"")</f>
        <v/>
      </c>
    </row>
    <row r="50" spans="1:6" x14ac:dyDescent="0.3">
      <c r="A50" s="3" t="str">
        <f>IFERROR(INDEX('DATA DUMP'!$A$2:$AD$723, MATCH($D$6,'DATA DUMP'!$A2:$A723, 0), COLUMN()),"")</f>
        <v/>
      </c>
      <c r="B50" s="3" t="str">
        <f>IFERROR(INDEX('DATA DUMP'!$A$2:$AD$723, MATCH($D$6,'DATA DUMP'!$A2:$A723, 0), COLUMN()),"")</f>
        <v/>
      </c>
      <c r="C50" s="3" t="str">
        <f>IFERROR(INDEX('DATA DUMP'!$A$2:$AD$723, MATCH($D$6,'DATA DUMP'!$A2:$A723, 0), COLUMN()),"")</f>
        <v/>
      </c>
      <c r="D50" s="3" t="str">
        <f>IFERROR(INDEX('DATA DUMP'!$A$2:$AD$723, MATCH($D$6,'DATA DUMP'!$A2:$A723, 0), COLUMN()),"")</f>
        <v/>
      </c>
      <c r="E50" s="3" t="str">
        <f>IFERROR(INDEX('DATA DUMP'!$A$2:$AD$723, MATCH($D$6,'DATA DUMP'!$A2:$A723, 0), COLUMN()),"")</f>
        <v/>
      </c>
      <c r="F50" s="3" t="str">
        <f>IFERROR(INDEX('DATA DUMP'!$A$2:$AD$723, MATCH($D$6,'DATA DUMP'!$A2:$A723, 0), COLUMN()),"")</f>
        <v/>
      </c>
    </row>
    <row r="51" spans="1:6" x14ac:dyDescent="0.3">
      <c r="A51" s="3" t="str">
        <f>IFERROR(INDEX('DATA DUMP'!$A$2:$AD$723, MATCH($D$7,'DATA DUMP'!$A2:$A723, 0), COLUMN()),"")</f>
        <v/>
      </c>
      <c r="B51" s="3" t="str">
        <f>IFERROR(INDEX('DATA DUMP'!$A$2:$AD$723, MATCH($D$7,'DATA DUMP'!$A2:$A723, 0), COLUMN()),"")</f>
        <v/>
      </c>
      <c r="C51" s="3" t="str">
        <f>IFERROR(INDEX('DATA DUMP'!$A$2:$AD$723, MATCH($D$7,'DATA DUMP'!$A2:$A723, 0), COLUMN()),"")</f>
        <v/>
      </c>
      <c r="D51" s="3" t="str">
        <f>IFERROR(INDEX('DATA DUMP'!$A$2:$AD$723, MATCH($D$7,'DATA DUMP'!$A2:$A723, 0), COLUMN()),"")</f>
        <v/>
      </c>
      <c r="E51" s="3" t="str">
        <f>IFERROR(INDEX('DATA DUMP'!$A$2:$AD$723, MATCH($D$7,'DATA DUMP'!$A2:$A723, 0), COLUMN()),"")</f>
        <v/>
      </c>
      <c r="F51" s="3" t="str">
        <f>IFERROR(INDEX('DATA DUMP'!$A$2:$AD$723, MATCH($D$7,'DATA DUMP'!$A2:$A723, 0), COLUMN()),"")</f>
        <v/>
      </c>
    </row>
    <row r="52" spans="1:6" x14ac:dyDescent="0.3">
      <c r="A52" s="3" t="str">
        <f>IFERROR(INDEX('DATA DUMP'!$A$2:$AD$723, MATCH($E$2,'DATA DUMP'!$A2:$A723, 0), COLUMN()),"")</f>
        <v/>
      </c>
      <c r="B52" s="3" t="str">
        <f>IFERROR(INDEX('DATA DUMP'!$A$2:$AD$723, MATCH($E$2,'DATA DUMP'!$A2:$A723, 0), COLUMN()),"")</f>
        <v/>
      </c>
      <c r="C52" s="3" t="str">
        <f>IFERROR(INDEX('DATA DUMP'!$A$2:$AD$723, MATCH($E$2,'DATA DUMP'!$A2:$A723, 0), COLUMN()),"")</f>
        <v/>
      </c>
      <c r="D52" s="3" t="str">
        <f>IFERROR(INDEX('DATA DUMP'!$A$2:$AD$723, MATCH($E$2,'DATA DUMP'!$A2:$A723, 0), COLUMN()),"")</f>
        <v/>
      </c>
      <c r="E52" s="3" t="str">
        <f>IFERROR(INDEX('DATA DUMP'!$A$2:$AD$723, MATCH($E$2,'DATA DUMP'!$A2:$A723, 0), COLUMN()),"")</f>
        <v/>
      </c>
      <c r="F52" s="3" t="str">
        <f>IFERROR(INDEX('DATA DUMP'!$A$2:$AD$723, MATCH($E$2,'DATA DUMP'!$A2:$A723, 0), COLUMN()),"")</f>
        <v/>
      </c>
    </row>
    <row r="53" spans="1:6" x14ac:dyDescent="0.3">
      <c r="A53" s="3" t="str">
        <f>IFERROR(INDEX('DATA DUMP'!$A$2:$AD$723, MATCH($E$3,'DATA DUMP'!$A2:$A723, 0), COLUMN()),"")</f>
        <v/>
      </c>
      <c r="B53" s="3" t="str">
        <f>IFERROR(INDEX('DATA DUMP'!$A$2:$AD$723, MATCH($E$3,'DATA DUMP'!$A2:$A723, 0), COLUMN()),"")</f>
        <v/>
      </c>
      <c r="C53" s="3" t="str">
        <f>IFERROR(INDEX('DATA DUMP'!$A$2:$AD$723, MATCH($E$3,'DATA DUMP'!$A2:$A723, 0), COLUMN()),"")</f>
        <v/>
      </c>
      <c r="D53" s="3" t="str">
        <f>IFERROR(INDEX('DATA DUMP'!$A$2:$AD$723, MATCH($E$3,'DATA DUMP'!$A2:$A723, 0), COLUMN()),"")</f>
        <v/>
      </c>
      <c r="E53" s="3" t="str">
        <f>IFERROR(INDEX('DATA DUMP'!$A$2:$AD$723, MATCH($E$3,'DATA DUMP'!$A2:$A723, 0), COLUMN()),"")</f>
        <v/>
      </c>
      <c r="F53" s="3" t="str">
        <f>IFERROR(INDEX('DATA DUMP'!$A$2:$AD$723, MATCH($E$3,'DATA DUMP'!$A2:$A723, 0), COLUMN()),"")</f>
        <v/>
      </c>
    </row>
    <row r="54" spans="1:6" x14ac:dyDescent="0.3">
      <c r="A54" s="3" t="str">
        <f>IFERROR(INDEX('DATA DUMP'!$A$2:$AD$723, MATCH($E$4,'DATA DUMP'!$A2:$A723, 0), COLUMN()),"")</f>
        <v/>
      </c>
      <c r="B54" s="3" t="str">
        <f>IFERROR(INDEX('DATA DUMP'!$A$2:$AD$723, MATCH($E$4,'DATA DUMP'!$A2:$A723, 0), COLUMN()),"")</f>
        <v/>
      </c>
      <c r="C54" s="3" t="str">
        <f>IFERROR(INDEX('DATA DUMP'!$A$2:$AD$723, MATCH($E$4,'DATA DUMP'!$A2:$A723, 0), COLUMN()),"")</f>
        <v/>
      </c>
      <c r="D54" s="3" t="str">
        <f>IFERROR(INDEX('DATA DUMP'!$A$2:$AD$723, MATCH($E$4,'DATA DUMP'!$A2:$A723, 0), COLUMN()),"")</f>
        <v/>
      </c>
      <c r="E54" s="3" t="str">
        <f>IFERROR(INDEX('DATA DUMP'!$A$2:$AD$723, MATCH($E$4,'DATA DUMP'!$A2:$A723, 0), COLUMN()),"")</f>
        <v/>
      </c>
      <c r="F54" s="3" t="str">
        <f>IFERROR(INDEX('DATA DUMP'!$A$2:$AD$723, MATCH($E$4,'DATA DUMP'!$A2:$A723, 0), COLUMN()),"")</f>
        <v/>
      </c>
    </row>
    <row r="55" spans="1:6" x14ac:dyDescent="0.3">
      <c r="A55" s="3" t="str">
        <f>IFERROR(INDEX('DATA DUMP'!$A$2:$AD$723, MATCH($E$5,'DATA DUMP'!$A2:$A723, 0), COLUMN()),"")</f>
        <v/>
      </c>
      <c r="B55" s="3" t="str">
        <f>IFERROR(INDEX('DATA DUMP'!$A$2:$AD$723, MATCH($E$5,'DATA DUMP'!$A2:$A723, 0), COLUMN()),"")</f>
        <v/>
      </c>
      <c r="C55" s="3" t="str">
        <f>IFERROR(INDEX('DATA DUMP'!$A$2:$AD$723, MATCH($E$5,'DATA DUMP'!$A2:$A723, 0), COLUMN()),"")</f>
        <v/>
      </c>
      <c r="D55" s="3" t="str">
        <f>IFERROR(INDEX('DATA DUMP'!$A$2:$AD$723, MATCH($E$5,'DATA DUMP'!$A2:$A723, 0), COLUMN()),"")</f>
        <v/>
      </c>
      <c r="E55" s="3" t="str">
        <f>IFERROR(INDEX('DATA DUMP'!$A$2:$AD$723, MATCH($E$5,'DATA DUMP'!$A2:$A723, 0), COLUMN()),"")</f>
        <v/>
      </c>
      <c r="F55" s="3" t="str">
        <f>IFERROR(INDEX('DATA DUMP'!$A$2:$AD$723, MATCH($E$5,'DATA DUMP'!$A2:$A723, 0), COLUMN()),"")</f>
        <v/>
      </c>
    </row>
    <row r="56" spans="1:6" x14ac:dyDescent="0.3">
      <c r="A56" s="3" t="str">
        <f>IFERROR(INDEX('DATA DUMP'!$A$2:$AD$723, MATCH($E$6,'DATA DUMP'!$A2:$A723, 0), COLUMN()),"")</f>
        <v/>
      </c>
      <c r="B56" s="3" t="str">
        <f>IFERROR(INDEX('DATA DUMP'!$A$2:$AD$723, MATCH($E$6,'DATA DUMP'!$A2:$A723, 0), COLUMN()),"")</f>
        <v/>
      </c>
      <c r="C56" s="3" t="str">
        <f>IFERROR(INDEX('DATA DUMP'!$A$2:$AD$723, MATCH($E$6,'DATA DUMP'!$A2:$A723, 0), COLUMN()),"")</f>
        <v/>
      </c>
      <c r="D56" s="3" t="str">
        <f>IFERROR(INDEX('DATA DUMP'!$A$2:$AD$723, MATCH($E$6,'DATA DUMP'!$A2:$A723, 0), COLUMN()),"")</f>
        <v/>
      </c>
      <c r="E56" s="3" t="str">
        <f>IFERROR(INDEX('DATA DUMP'!$A$2:$AD$723, MATCH($E$6,'DATA DUMP'!$A2:$A723, 0), COLUMN()),"")</f>
        <v/>
      </c>
      <c r="F56" s="3" t="str">
        <f>IFERROR(INDEX('DATA DUMP'!$A$2:$AD$723, MATCH($E$6,'DATA DUMP'!$A2:$A723, 0), COLUMN()),"")</f>
        <v/>
      </c>
    </row>
    <row r="57" spans="1:6" x14ac:dyDescent="0.3">
      <c r="A57" s="3" t="str">
        <f>IFERROR(INDEX('DATA DUMP'!$A$2:$AD$723, MATCH($E$7,'DATA DUMP'!$A2:$A723, 0), COLUMN()),"")</f>
        <v/>
      </c>
      <c r="B57" s="3" t="str">
        <f>IFERROR(INDEX('DATA DUMP'!$A$2:$AD$723, MATCH($E$7,'DATA DUMP'!$A2:$A723, 0), COLUMN()),"")</f>
        <v/>
      </c>
      <c r="C57" s="3" t="str">
        <f>IFERROR(INDEX('DATA DUMP'!$A$2:$AD$723, MATCH($E$7,'DATA DUMP'!$A2:$A723, 0), COLUMN()),"")</f>
        <v/>
      </c>
      <c r="D57" s="3" t="str">
        <f>IFERROR(INDEX('DATA DUMP'!$A$2:$AD$723, MATCH($E$7,'DATA DUMP'!$A2:$A723, 0), COLUMN()),"")</f>
        <v/>
      </c>
      <c r="E57" s="3" t="str">
        <f>IFERROR(INDEX('DATA DUMP'!$A$2:$AD$723, MATCH($E$7,'DATA DUMP'!$A2:$A723, 0), COLUMN()),"")</f>
        <v/>
      </c>
      <c r="F57" s="3" t="str">
        <f>IFERROR(INDEX('DATA DUMP'!$A$2:$AD$723, MATCH($E$7,'DATA DUMP'!$A2:$A723, 0), COLUMN()),"")</f>
        <v/>
      </c>
    </row>
    <row r="58" spans="1:6" x14ac:dyDescent="0.3">
      <c r="A58" s="258"/>
      <c r="B58" s="258"/>
      <c r="C58" s="258"/>
      <c r="D58" s="258"/>
      <c r="E58" s="258"/>
      <c r="F58" s="258"/>
    </row>
    <row r="59" spans="1:6" x14ac:dyDescent="0.3">
      <c r="A59" s="258"/>
      <c r="B59" s="258"/>
      <c r="C59" s="258"/>
      <c r="D59" s="258"/>
      <c r="E59" s="258"/>
      <c r="F59" s="258"/>
    </row>
    <row r="60" spans="1:6" x14ac:dyDescent="0.3">
      <c r="A60" s="258"/>
      <c r="B60" s="258"/>
      <c r="C60" s="258"/>
      <c r="D60" s="258"/>
      <c r="E60" s="258"/>
      <c r="F60" s="258"/>
    </row>
    <row r="61" spans="1:6" x14ac:dyDescent="0.3">
      <c r="A61" s="258"/>
      <c r="B61" s="258"/>
      <c r="C61" s="258"/>
      <c r="D61" s="258"/>
      <c r="E61" s="258"/>
      <c r="F61" s="258"/>
    </row>
    <row r="62" spans="1:6" x14ac:dyDescent="0.3">
      <c r="A62" s="258"/>
      <c r="B62" s="258"/>
      <c r="C62" s="258"/>
      <c r="D62" s="258"/>
      <c r="E62" s="258"/>
      <c r="F62" s="258"/>
    </row>
    <row r="63" spans="1:6" x14ac:dyDescent="0.3">
      <c r="A63" s="258"/>
      <c r="B63" s="258"/>
      <c r="C63" s="258"/>
      <c r="D63" s="258"/>
      <c r="E63" s="258"/>
      <c r="F63" s="258"/>
    </row>
    <row r="64" spans="1:6" x14ac:dyDescent="0.3">
      <c r="A64" s="259"/>
      <c r="B64" s="259"/>
      <c r="C64" s="259"/>
      <c r="D64" s="259"/>
      <c r="E64" s="259"/>
      <c r="F64" s="259"/>
    </row>
    <row r="65" spans="1:6" x14ac:dyDescent="0.3">
      <c r="A65" s="259"/>
      <c r="B65" s="259"/>
      <c r="C65" s="259"/>
      <c r="D65" s="259"/>
      <c r="E65" s="259"/>
      <c r="F65" s="259"/>
    </row>
    <row r="66" spans="1:6" x14ac:dyDescent="0.3">
      <c r="A66" s="259"/>
      <c r="B66" s="259"/>
      <c r="C66" s="259"/>
      <c r="D66" s="259"/>
      <c r="E66" s="259"/>
      <c r="F66" s="259"/>
    </row>
    <row r="67" spans="1:6" x14ac:dyDescent="0.3">
      <c r="A67" s="259"/>
      <c r="B67" s="259"/>
      <c r="C67" s="259"/>
      <c r="D67" s="259"/>
      <c r="E67" s="259"/>
      <c r="F67" s="259"/>
    </row>
    <row r="68" spans="1:6" x14ac:dyDescent="0.3">
      <c r="A68" s="259"/>
      <c r="B68" s="259"/>
      <c r="C68" s="259"/>
      <c r="D68" s="259"/>
      <c r="E68" s="259"/>
      <c r="F68" s="259"/>
    </row>
    <row r="69" spans="1:6" x14ac:dyDescent="0.3">
      <c r="A69" s="259"/>
      <c r="B69" s="259"/>
      <c r="C69" s="259"/>
      <c r="D69" s="259"/>
      <c r="E69" s="259"/>
      <c r="F69" s="259"/>
    </row>
    <row r="70" spans="1:6" x14ac:dyDescent="0.3">
      <c r="A70" s="257"/>
      <c r="B70" s="257"/>
      <c r="C70" s="257"/>
      <c r="D70" s="257"/>
      <c r="E70" s="257"/>
      <c r="F70" s="257"/>
    </row>
    <row r="71" spans="1:6" x14ac:dyDescent="0.3">
      <c r="A71" s="257"/>
      <c r="B71" s="257"/>
      <c r="C71" s="257"/>
      <c r="D71" s="257"/>
      <c r="E71" s="257"/>
      <c r="F71" s="257"/>
    </row>
    <row r="72" spans="1:6" x14ac:dyDescent="0.3">
      <c r="A72" s="257"/>
      <c r="B72" s="257"/>
      <c r="C72" s="257"/>
      <c r="D72" s="257"/>
      <c r="E72" s="257"/>
      <c r="F72" s="257"/>
    </row>
    <row r="73" spans="1:6" x14ac:dyDescent="0.3">
      <c r="A73" s="257"/>
      <c r="B73" s="257"/>
      <c r="C73" s="257"/>
      <c r="D73" s="257"/>
      <c r="E73" s="257"/>
      <c r="F73" s="257"/>
    </row>
    <row r="74" spans="1:6" x14ac:dyDescent="0.3">
      <c r="A74" s="257"/>
      <c r="B74" s="257"/>
      <c r="C74" s="257"/>
      <c r="D74" s="257"/>
      <c r="E74" s="257"/>
      <c r="F74" s="257"/>
    </row>
    <row r="75" spans="1:6" x14ac:dyDescent="0.3">
      <c r="A75" s="257"/>
      <c r="B75" s="257"/>
      <c r="C75" s="257"/>
      <c r="D75" s="257"/>
      <c r="E75" s="257"/>
      <c r="F75" s="257"/>
    </row>
    <row r="76" spans="1:6" x14ac:dyDescent="0.3">
      <c r="A76" s="4"/>
      <c r="B76" s="4"/>
      <c r="C76" s="4"/>
      <c r="D76" s="4"/>
      <c r="E76" s="4"/>
      <c r="F76" s="4"/>
    </row>
    <row r="77" spans="1:6" x14ac:dyDescent="0.3">
      <c r="A77" s="4"/>
      <c r="B77" s="4"/>
      <c r="C77" s="4"/>
      <c r="D77" s="4"/>
      <c r="E77" s="4"/>
      <c r="F77" s="4"/>
    </row>
    <row r="78" spans="1:6" x14ac:dyDescent="0.3">
      <c r="A78" s="4"/>
      <c r="B78" s="4"/>
      <c r="C78" s="4"/>
      <c r="D78" s="4"/>
      <c r="E78" s="4"/>
      <c r="F78" s="4"/>
    </row>
    <row r="79" spans="1:6" x14ac:dyDescent="0.3">
      <c r="A79" s="4"/>
      <c r="B79" s="4"/>
      <c r="C79" s="4"/>
      <c r="D79" s="4"/>
      <c r="E79" s="4"/>
      <c r="F79" s="4"/>
    </row>
    <row r="80" spans="1:6" x14ac:dyDescent="0.3">
      <c r="A80" s="4"/>
      <c r="B80" s="4"/>
      <c r="C80" s="4"/>
      <c r="D80" s="4"/>
      <c r="E80" s="4"/>
      <c r="F80" s="4"/>
    </row>
    <row r="81" spans="1:6" x14ac:dyDescent="0.3">
      <c r="A81" s="4"/>
      <c r="B81" s="4"/>
      <c r="C81" s="4"/>
      <c r="D81" s="4"/>
      <c r="E81" s="4"/>
      <c r="F81" s="4"/>
    </row>
    <row r="82" spans="1:6" x14ac:dyDescent="0.3">
      <c r="A82" s="260"/>
      <c r="B82" s="260"/>
      <c r="C82" s="260"/>
      <c r="D82" s="260"/>
      <c r="E82" s="260"/>
      <c r="F82" s="260"/>
    </row>
    <row r="83" spans="1:6" x14ac:dyDescent="0.3">
      <c r="A83" s="260"/>
      <c r="B83" s="260"/>
      <c r="C83" s="260"/>
      <c r="D83" s="260"/>
      <c r="E83" s="260"/>
      <c r="F83" s="260"/>
    </row>
    <row r="84" spans="1:6" x14ac:dyDescent="0.3">
      <c r="A84" s="260"/>
      <c r="B84" s="260"/>
      <c r="C84" s="260"/>
      <c r="D84" s="260"/>
      <c r="E84" s="260"/>
      <c r="F84" s="260"/>
    </row>
    <row r="85" spans="1:6" x14ac:dyDescent="0.3">
      <c r="A85" s="260"/>
      <c r="B85" s="260"/>
      <c r="C85" s="260"/>
      <c r="D85" s="260"/>
      <c r="E85" s="260"/>
      <c r="F85" s="260"/>
    </row>
    <row r="86" spans="1:6" x14ac:dyDescent="0.3">
      <c r="A86" s="260"/>
      <c r="B86" s="260"/>
      <c r="C86" s="260"/>
      <c r="D86" s="260"/>
      <c r="E86" s="260"/>
      <c r="F86" s="260"/>
    </row>
    <row r="87" spans="1:6" x14ac:dyDescent="0.3">
      <c r="A87" s="260"/>
      <c r="B87" s="260"/>
      <c r="C87" s="260"/>
      <c r="D87" s="260"/>
      <c r="E87" s="260"/>
      <c r="F87" s="260"/>
    </row>
    <row r="88" spans="1:6" x14ac:dyDescent="0.3">
      <c r="A88" s="32"/>
      <c r="B88" s="32"/>
      <c r="C88" s="32"/>
      <c r="D88" s="32"/>
      <c r="E88" s="32"/>
      <c r="F88" s="32"/>
    </row>
    <row r="89" spans="1:6" x14ac:dyDescent="0.3">
      <c r="A89" s="32"/>
      <c r="B89" s="32"/>
      <c r="C89" s="32"/>
      <c r="D89" s="32"/>
      <c r="E89" s="32"/>
      <c r="F89" s="32"/>
    </row>
    <row r="90" spans="1:6" x14ac:dyDescent="0.3">
      <c r="A90" s="32"/>
      <c r="B90" s="32"/>
      <c r="C90" s="32"/>
      <c r="D90" s="32"/>
      <c r="E90" s="32"/>
      <c r="F90" s="32"/>
    </row>
    <row r="91" spans="1:6" x14ac:dyDescent="0.3">
      <c r="A91" s="32"/>
      <c r="B91" s="32"/>
      <c r="C91" s="32"/>
      <c r="D91" s="32"/>
      <c r="E91" s="32"/>
      <c r="F91" s="32"/>
    </row>
    <row r="92" spans="1:6" x14ac:dyDescent="0.3">
      <c r="A92" s="32"/>
      <c r="B92" s="32"/>
      <c r="C92" s="32"/>
      <c r="D92" s="32"/>
      <c r="E92" s="32"/>
      <c r="F92" s="32"/>
    </row>
    <row r="93" spans="1:6" x14ac:dyDescent="0.3">
      <c r="A93" s="32"/>
      <c r="B93" s="32"/>
      <c r="C93" s="32"/>
      <c r="D93" s="32"/>
      <c r="E93" s="32"/>
      <c r="F93" s="32"/>
    </row>
    <row r="94" spans="1:6" x14ac:dyDescent="0.3">
      <c r="A94" s="31"/>
      <c r="B94" s="31"/>
      <c r="C94" s="31"/>
      <c r="D94" s="31"/>
      <c r="E94" s="31"/>
      <c r="F94" s="31"/>
    </row>
    <row r="95" spans="1:6" x14ac:dyDescent="0.3">
      <c r="A95" s="31"/>
      <c r="B95" s="31"/>
      <c r="C95" s="31"/>
      <c r="D95" s="31"/>
      <c r="E95" s="31"/>
      <c r="F95" s="31"/>
    </row>
    <row r="96" spans="1:6" x14ac:dyDescent="0.3">
      <c r="A96" s="31"/>
      <c r="B96" s="31"/>
      <c r="C96" s="31"/>
      <c r="D96" s="31"/>
      <c r="E96" s="31"/>
      <c r="F96" s="31"/>
    </row>
    <row r="97" spans="1:6" x14ac:dyDescent="0.3">
      <c r="A97" s="31"/>
      <c r="B97" s="31"/>
      <c r="C97" s="31"/>
      <c r="D97" s="31"/>
      <c r="E97" s="31"/>
      <c r="F97" s="31"/>
    </row>
    <row r="98" spans="1:6" x14ac:dyDescent="0.3">
      <c r="A98" s="31"/>
      <c r="B98" s="31"/>
      <c r="C98" s="31"/>
      <c r="D98" s="31"/>
      <c r="E98" s="31"/>
      <c r="F98" s="31"/>
    </row>
    <row r="99" spans="1:6" x14ac:dyDescent="0.3">
      <c r="A99" s="31"/>
      <c r="B99" s="31"/>
      <c r="C99" s="31"/>
      <c r="D99" s="31"/>
      <c r="E99" s="31"/>
      <c r="F99" s="31"/>
    </row>
    <row r="100" spans="1:6" x14ac:dyDescent="0.3">
      <c r="A100" s="261"/>
      <c r="B100" s="261"/>
      <c r="C100" s="261"/>
      <c r="D100" s="261"/>
      <c r="E100" s="261"/>
      <c r="F100" s="261"/>
    </row>
    <row r="101" spans="1:6" x14ac:dyDescent="0.3">
      <c r="A101" s="261"/>
      <c r="B101" s="261"/>
      <c r="C101" s="261"/>
      <c r="D101" s="261"/>
      <c r="E101" s="261"/>
      <c r="F101" s="261"/>
    </row>
    <row r="102" spans="1:6" x14ac:dyDescent="0.3">
      <c r="A102" s="261"/>
      <c r="B102" s="261"/>
      <c r="C102" s="261"/>
      <c r="D102" s="261"/>
      <c r="E102" s="261"/>
      <c r="F102" s="261"/>
    </row>
    <row r="103" spans="1:6" x14ac:dyDescent="0.3">
      <c r="A103" s="261"/>
      <c r="B103" s="261"/>
      <c r="C103" s="261"/>
      <c r="D103" s="261"/>
      <c r="E103" s="261"/>
      <c r="F103" s="261"/>
    </row>
    <row r="104" spans="1:6" x14ac:dyDescent="0.3">
      <c r="A104" s="261"/>
      <c r="B104" s="261"/>
      <c r="C104" s="261"/>
      <c r="D104" s="261"/>
      <c r="E104" s="261"/>
      <c r="F104" s="261"/>
    </row>
    <row r="105" spans="1:6" x14ac:dyDescent="0.3">
      <c r="A105" s="261"/>
      <c r="B105" s="261"/>
      <c r="C105" s="261"/>
      <c r="D105" s="261"/>
      <c r="E105" s="261"/>
      <c r="F105" s="26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48</vt:i4>
      </vt:variant>
    </vt:vector>
  </HeadingPairs>
  <TitlesOfParts>
    <vt:vector size="66" baseType="lpstr">
      <vt:lpstr>Summary</vt:lpstr>
      <vt:lpstr>Cambs Appliances</vt:lpstr>
      <vt:lpstr>OTB Appliances</vt:lpstr>
      <vt:lpstr>Officers</vt:lpstr>
      <vt:lpstr>Other Agencies</vt:lpstr>
      <vt:lpstr>Formulas 2</vt:lpstr>
      <vt:lpstr>EXTRAS</vt:lpstr>
      <vt:lpstr>Temperature Log</vt:lpstr>
      <vt:lpstr>Sector Skills</vt:lpstr>
      <vt:lpstr>SEARCH</vt:lpstr>
      <vt:lpstr>ICU Notes</vt:lpstr>
      <vt:lpstr>Fault Report</vt:lpstr>
      <vt:lpstr>SKILLSETS</vt:lpstr>
      <vt:lpstr>Formula to Hide</vt:lpstr>
      <vt:lpstr>DATA DUMP</vt:lpstr>
      <vt:lpstr>Stations</vt:lpstr>
      <vt:lpstr>CREWING</vt:lpstr>
      <vt:lpstr>Sheet2</vt:lpstr>
      <vt:lpstr>_c01</vt:lpstr>
      <vt:lpstr>_C02P3</vt:lpstr>
      <vt:lpstr>_C03P3</vt:lpstr>
      <vt:lpstr>_C04P3</vt:lpstr>
      <vt:lpstr>_C05P4</vt:lpstr>
      <vt:lpstr>_C05P5</vt:lpstr>
      <vt:lpstr>_C06P3</vt:lpstr>
      <vt:lpstr>_C06P4</vt:lpstr>
      <vt:lpstr>_C07P3</vt:lpstr>
      <vt:lpstr>_C09P3</vt:lpstr>
      <vt:lpstr>_C10P3</vt:lpstr>
      <vt:lpstr>_C11P3</vt:lpstr>
      <vt:lpstr>_C12P3</vt:lpstr>
      <vt:lpstr>_C13H9</vt:lpstr>
      <vt:lpstr>_C13P4</vt:lpstr>
      <vt:lpstr>_C13P5</vt:lpstr>
      <vt:lpstr>_C14</vt:lpstr>
      <vt:lpstr>_C15P3</vt:lpstr>
      <vt:lpstr>_C16P5</vt:lpstr>
      <vt:lpstr>_C16P6</vt:lpstr>
      <vt:lpstr>_C17P3</vt:lpstr>
      <vt:lpstr>_C18P3</vt:lpstr>
      <vt:lpstr>_C19P3</vt:lpstr>
      <vt:lpstr>_C20P4</vt:lpstr>
      <vt:lpstr>_C20P5</vt:lpstr>
      <vt:lpstr>_C21P3</vt:lpstr>
      <vt:lpstr>_C21P4</vt:lpstr>
      <vt:lpstr>_C22P3</vt:lpstr>
      <vt:lpstr>_C23P3</vt:lpstr>
      <vt:lpstr>_C24P3</vt:lpstr>
      <vt:lpstr>_C24P4</vt:lpstr>
      <vt:lpstr>_C24W7</vt:lpstr>
      <vt:lpstr>_C25P3</vt:lpstr>
      <vt:lpstr>_C26P3</vt:lpstr>
      <vt:lpstr>_C27C9</vt:lpstr>
      <vt:lpstr>_C27P4</vt:lpstr>
      <vt:lpstr>_C27P5</vt:lpstr>
      <vt:lpstr>_C27R5</vt:lpstr>
      <vt:lpstr>_C28P3</vt:lpstr>
      <vt:lpstr>_C28P4</vt:lpstr>
      <vt:lpstr>_HQ</vt:lpstr>
      <vt:lpstr>_TDG</vt:lpstr>
      <vt:lpstr>APPLIANCES</vt:lpstr>
      <vt:lpstr>CALLSIGNS</vt:lpstr>
      <vt:lpstr>Officers</vt:lpstr>
      <vt:lpstr>ROLES</vt:lpstr>
      <vt:lpstr>SECTORS</vt:lpstr>
      <vt:lpstr>Tactical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Parish</dc:creator>
  <cp:lastModifiedBy>James Parish</cp:lastModifiedBy>
  <cp:lastPrinted>2017-06-07T10:55:58Z</cp:lastPrinted>
  <dcterms:created xsi:type="dcterms:W3CDTF">2016-09-28T11:44:30Z</dcterms:created>
  <dcterms:modified xsi:type="dcterms:W3CDTF">2017-09-12T15:16:33Z</dcterms:modified>
</cp:coreProperties>
</file>